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erials" sheetId="2" state="visible" r:id="rId2"/>
    <sheet name="Cut List" sheetId="3" state="visible" r:id="rId3"/>
    <sheet name="Fronts &amp; Hinges" sheetId="4" state="visible" r:id="rId4"/>
    <sheet name="Sheet Layout" sheetId="5" state="visible" r:id="rId5"/>
  </sheets>
  <definedNames>
    <definedName name="_xlnm._FilterDatabase" localSheetId="1" hidden="1">'Materials'!$A$4:$F$62</definedName>
    <definedName name="_xlnm._FilterDatabase" localSheetId="2" hidden="1">'Cut List'!$A$4:$K$241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" fontId="4" fillId="0" borderId="1" pivotButton="0" quotePrefix="0" xfId="0"/>
    <xf numFmtId="2" fontId="4" fillId="0" borderId="1" pivotButton="0" quotePrefix="0" xfId="0"/>
    <xf numFmtId="1" fontId="6" fillId="0" borderId="1" pivotButton="0" quotePrefix="0" xfId="0"/>
    <xf numFmtId="166" fontId="4" fillId="0" borderId="1" pivotButton="0" quotePrefix="0" xfId="0"/>
    <xf numFmtId="0" fontId="4" fillId="0" borderId="1" applyAlignment="1" pivotButton="0" quotePrefix="0" xfId="0">
      <alignment vertical="top" wrapText="1"/>
    </xf>
    <xf numFmtId="164" fontId="6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1" pivotButton="0" quotePrefix="0" xfId="0"/>
    <xf numFmtId="1" fontId="5" fillId="0" borderId="1" pivotButton="0" quotePrefix="0" xfId="0"/>
    <xf numFmtId="2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B7" authorId="0" shapeId="0">
      <text>
        <t>Computed by the nesting in make_kitchen_cutlist.py; re-run it after model changes.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70" customWidth="1" min="4" max="4"/>
  </cols>
  <sheetData>
    <row r="1">
      <c r="A1" s="1" t="inlineStr">
        <is>
          <t>Kitchen v3 - Cut list &amp; materials summary</t>
        </is>
      </c>
    </row>
    <row r="2">
      <c r="A2" s="2" t="inlineStr">
        <is>
          <t>Material: 3/4" PVC board (18 mm) for every cabinet panel; 6 mm PVC for toe-kick drawer bottoms.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Basis</t>
        </is>
      </c>
    </row>
    <row r="5">
      <c r="A5" s="4" t="inlineStr">
        <is>
          <t>PVC 18 mm pieces</t>
        </is>
      </c>
      <c r="B5" s="5">
        <f>SUMIFS('Cut List'!$D$5:$D$241,'Cut List'!$H$5:$H$241,"PVC board 18 mm")</f>
        <v/>
      </c>
      <c r="C5" s="4" t="inlineStr">
        <is>
          <t>pcs</t>
        </is>
      </c>
      <c r="D5" s="4" t="inlineStr">
        <is>
          <t>Cut List</t>
        </is>
      </c>
    </row>
    <row r="6">
      <c r="A6" s="4" t="inlineStr">
        <is>
          <t>PVC 18 mm part area</t>
        </is>
      </c>
      <c r="B6" s="6">
        <f>SUMIFS('Cut List'!$I$5:$I$241,'Cut List'!$H$5:$H$241,"PVC board 18 mm")</f>
        <v/>
      </c>
      <c r="C6" s="4" t="inlineStr">
        <is>
          <t>m²</t>
        </is>
      </c>
      <c r="D6" s="4" t="inlineStr">
        <is>
          <t>Cut List</t>
        </is>
      </c>
    </row>
    <row r="7">
      <c r="A7" s="4" t="inlineStr">
        <is>
          <t>PVC 18 mm sheets (4x8)</t>
        </is>
      </c>
      <c r="B7" s="7" t="n">
        <v>20</v>
      </c>
      <c r="C7" s="4" t="inlineStr">
        <is>
          <t>sheets</t>
        </is>
      </c>
      <c r="D7" s="4" t="inlineStr">
        <is>
          <t>Nested by make_kitchen_cutlist.py (4 mm kerf, 5 mm trim) - see Sheet Layout / PDF</t>
        </is>
      </c>
    </row>
    <row r="8">
      <c r="A8" s="4" t="inlineStr">
        <is>
          <t>PVC 18 mm sheet yield</t>
        </is>
      </c>
      <c r="B8" s="8">
        <f>B6/(B7*2.44*1.22)</f>
        <v/>
      </c>
      <c r="C8" s="4" t="inlineStr">
        <is>
          <t>%</t>
        </is>
      </c>
      <c r="D8" s="4" t="inlineStr">
        <is>
          <t>part area / sheet area</t>
        </is>
      </c>
    </row>
    <row r="9">
      <c r="A9" s="4" t="inlineStr">
        <is>
          <t>PVC 6 mm pieces</t>
        </is>
      </c>
      <c r="B9" s="5">
        <f>SUMIFS('Cut List'!$D$5:$D$241,'Cut List'!$H$5:$H$241,"PVC board 6 mm")</f>
        <v/>
      </c>
      <c r="C9" s="4" t="inlineStr">
        <is>
          <t>pcs</t>
        </is>
      </c>
      <c r="D9" s="4" t="inlineStr">
        <is>
          <t>Cut List</t>
        </is>
      </c>
    </row>
    <row r="10">
      <c r="A10" s="4" t="inlineStr">
        <is>
          <t>PVC 6 mm sheets (4x8)</t>
        </is>
      </c>
      <c r="B10" s="7" t="n">
        <v>1</v>
      </c>
      <c r="C10" s="4" t="inlineStr">
        <is>
          <t>sheets</t>
        </is>
      </c>
      <c r="D10" s="4" t="inlineStr">
        <is>
          <t>Nested (toe-kick drawer bottoms)</t>
        </is>
      </c>
    </row>
    <row r="11">
      <c r="A11" s="4" t="inlineStr">
        <is>
          <t>Countertop pieces</t>
        </is>
      </c>
      <c r="B11" s="5">
        <f>SUMIFS('Cut List'!$D$5:$D$241,'Cut List'!$H$5:$H$241,"Countertop 38 mm")</f>
        <v/>
      </c>
      <c r="C11" s="4" t="inlineStr">
        <is>
          <t>pcs</t>
        </is>
      </c>
      <c r="D11" s="4" t="inlineStr">
        <is>
          <t>Fabricator templates on site</t>
        </is>
      </c>
    </row>
    <row r="12">
      <c r="A12" s="4" t="inlineStr">
        <is>
          <t>Hinges</t>
        </is>
      </c>
      <c r="B12" s="5">
        <f>'Fronts &amp; Hinges'!H48</f>
        <v/>
      </c>
      <c r="C12" s="4" t="inlineStr">
        <is>
          <t>pcs</t>
        </is>
      </c>
      <c r="D12" s="4" t="inlineStr">
        <is>
          <t>Fronts &amp; Hinges sheet</t>
        </is>
      </c>
    </row>
    <row r="15">
      <c r="A15" s="2" t="inlineStr">
        <is>
          <t>Tip: buy 1 spare 18 mm sheet for cutting mistakes and future repairs.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4" customWidth="1" min="3" max="3"/>
    <col width="8" customWidth="1" min="4" max="4"/>
    <col width="8" customWidth="1" min="5" max="5"/>
    <col width="60" customWidth="1" min="6" max="6"/>
  </cols>
  <sheetData>
    <row r="1">
      <c r="A1" s="1" t="inlineStr">
        <is>
          <t>List of materials</t>
        </is>
      </c>
    </row>
    <row r="2">
      <c r="A2" s="2" t="inlineStr">
        <is>
          <t>Quantities in black are formulas; blue are counts taken from the model or rules of thumb (see Basis). Add a Unit Price column for your supplier quotes.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Specification</t>
        </is>
      </c>
      <c r="D4" s="3" t="inlineStr">
        <is>
          <t>Qty</t>
        </is>
      </c>
      <c r="E4" s="3" t="inlineStr">
        <is>
          <t>Unit</t>
        </is>
      </c>
      <c r="F4" s="3" t="inlineStr">
        <is>
          <t>Basis / note</t>
        </is>
      </c>
    </row>
    <row r="5">
      <c r="A5" s="4" t="inlineStr">
        <is>
          <t>Board</t>
        </is>
      </c>
      <c r="B5" s="9" t="inlineStr">
        <is>
          <t>PVC board 3/4" (18 mm), 4x8 ft</t>
        </is>
      </c>
      <c r="C5" s="4" t="inlineStr">
        <is>
          <t>1220 x 2440 x 18</t>
        </is>
      </c>
      <c r="D5" s="5">
        <f>Summary!B7</f>
        <v/>
      </c>
      <c r="E5" s="4" t="inlineStr">
        <is>
          <t>sheets</t>
        </is>
      </c>
      <c r="F5" s="9" t="inlineStr">
        <is>
          <t>Nested sheets (Summary). +1 spare recommended</t>
        </is>
      </c>
    </row>
    <row r="6">
      <c r="A6" s="4" t="inlineStr">
        <is>
          <t>Board</t>
        </is>
      </c>
      <c r="B6" s="9" t="inlineStr">
        <is>
          <t>PVC board 6 mm, 4x8 ft</t>
        </is>
      </c>
      <c r="C6" s="4" t="inlineStr">
        <is>
          <t>1220 x 2440 x 6</t>
        </is>
      </c>
      <c r="D6" s="5">
        <f>Summary!B10</f>
        <v/>
      </c>
      <c r="E6" s="4" t="inlineStr">
        <is>
          <t>sheets</t>
        </is>
      </c>
      <c r="F6" s="9" t="inlineStr">
        <is>
          <t>Toe-kick drawer bottoms; offcuts usable for small parts</t>
        </is>
      </c>
    </row>
    <row r="7">
      <c r="A7" s="4" t="inlineStr">
        <is>
          <t>Countertop</t>
        </is>
      </c>
      <c r="B7" s="9" t="inlineStr">
        <is>
          <t>Countertop - Back_Base</t>
        </is>
      </c>
      <c r="C7" s="4" t="inlineStr">
        <is>
          <t>1518 x 635 x 38, solid surface / granite, back wall, no cut-outs</t>
        </is>
      </c>
      <c r="D7" s="7" t="n">
        <v>1</v>
      </c>
      <c r="E7" s="4" t="inlineStr">
        <is>
          <t>pc</t>
        </is>
      </c>
      <c r="F7" s="9" t="inlineStr">
        <is>
          <t>Solid surface / granite / quartz; fabricator measures on site</t>
        </is>
      </c>
    </row>
    <row r="8">
      <c r="A8" s="4" t="inlineStr">
        <is>
          <t>Countertop</t>
        </is>
      </c>
      <c r="B8" s="9" t="inlineStr">
        <is>
          <t>Countertop - Island</t>
        </is>
      </c>
      <c r="C8" s="4" t="inlineStr">
        <is>
          <t>1726 x 953 x 38, solid surface / granite, cooktop cut-out 700x400</t>
        </is>
      </c>
      <c r="D8" s="7" t="n">
        <v>1</v>
      </c>
      <c r="E8" s="4" t="inlineStr">
        <is>
          <t>pc</t>
        </is>
      </c>
      <c r="F8" s="9" t="inlineStr">
        <is>
          <t>Solid surface / granite / quartz; fabricator measures on site</t>
        </is>
      </c>
    </row>
    <row r="9">
      <c r="A9" s="4" t="inlineStr">
        <is>
          <t>Countertop</t>
        </is>
      </c>
      <c r="B9" s="9" t="inlineStr">
        <is>
          <t>Countertop - Sink_Counter</t>
        </is>
      </c>
      <c r="C9" s="4" t="inlineStr">
        <is>
          <t>1300 x 635 x 38, solid surface / granite, sink cut-out 770x420</t>
        </is>
      </c>
      <c r="D9" s="7" t="n">
        <v>1</v>
      </c>
      <c r="E9" s="4" t="inlineStr">
        <is>
          <t>pc</t>
        </is>
      </c>
      <c r="F9" s="9" t="inlineStr">
        <is>
          <t>Solid surface / granite / quartz; fabricator measures on site</t>
        </is>
      </c>
    </row>
    <row r="10">
      <c r="A10" s="4" t="inlineStr">
        <is>
          <t>Countertop</t>
        </is>
      </c>
      <c r="B10" s="9" t="inlineStr">
        <is>
          <t>Countertop - Washer_Bay</t>
        </is>
      </c>
      <c r="C10" s="4" t="inlineStr">
        <is>
          <t>671 x 635 x 38, solid surface / granite, corner notch 144x144 for pipe</t>
        </is>
      </c>
      <c r="D10" s="7" t="n">
        <v>1</v>
      </c>
      <c r="E10" s="4" t="inlineStr">
        <is>
          <t>pc</t>
        </is>
      </c>
      <c r="F10" s="9" t="inlineStr">
        <is>
          <t>Solid surface / granite / quartz; fabricator measures on site</t>
        </is>
      </c>
    </row>
    <row r="11">
      <c r="A11" s="4" t="inlineStr">
        <is>
          <t>Fittings</t>
        </is>
      </c>
      <c r="B11" s="9" t="inlineStr">
        <is>
          <t>Concealed hinge 35 mm, soft-close, clip-on</t>
        </is>
      </c>
      <c r="C11" s="4" t="inlineStr">
        <is>
          <t>full overlay</t>
        </is>
      </c>
      <c r="D11" s="5">
        <f>Summary!B12</f>
        <v/>
      </c>
      <c r="E11" s="4" t="inlineStr">
        <is>
          <t>pcs</t>
        </is>
      </c>
      <c r="F11" s="9" t="inlineStr">
        <is>
          <t>Fronts &amp; Hinges sheet</t>
        </is>
      </c>
    </row>
    <row r="12">
      <c r="A12" s="4" t="inlineStr">
        <is>
          <t>Fittings</t>
        </is>
      </c>
      <c r="B12" s="9" t="inlineStr">
        <is>
          <t>Handles or push-to-open latches</t>
        </is>
      </c>
      <c r="C12" s="4" t="inlineStr">
        <is>
          <t>per door / drawer front</t>
        </is>
      </c>
      <c r="D12" s="5">
        <f>'Fronts &amp; Hinges'!I48</f>
        <v/>
      </c>
      <c r="E12" s="4" t="inlineStr">
        <is>
          <t>pcs</t>
        </is>
      </c>
      <c r="F12" s="9" t="inlineStr">
        <is>
          <t>Toe-kick drawers excluded (push-to-open runners)</t>
        </is>
      </c>
    </row>
    <row r="13">
      <c r="A13" s="4" t="inlineStr">
        <is>
          <t>Fasteners</t>
        </is>
      </c>
      <c r="B13" s="9" t="inlineStr">
        <is>
          <t>Screws for PVC board (confirmat 7x50 or 4x40 coarse-thread)</t>
        </is>
      </c>
      <c r="C13" s="4" t="inlineStr">
        <is>
          <t>carcass joints</t>
        </is>
      </c>
      <c r="D13" s="5">
        <f>ROUND(4*Summary!B5,-1)</f>
        <v/>
      </c>
      <c r="E13" s="4" t="inlineStr">
        <is>
          <t>pcs</t>
        </is>
      </c>
      <c r="F13" s="9" t="inlineStr">
        <is>
          <t>~4 per panel (rule of thumb); pre-drill PVC</t>
        </is>
      </c>
    </row>
    <row r="14">
      <c r="A14" s="4" t="inlineStr">
        <is>
          <t>Fasteners</t>
        </is>
      </c>
      <c r="B14" s="9" t="inlineStr">
        <is>
          <t>Short screws 4x16 (hinges, runners, rails)</t>
        </is>
      </c>
      <c r="C14" s="4" t="inlineStr">
        <is>
          <t>fittings</t>
        </is>
      </c>
      <c r="D14" s="5">
        <f>8*Summary!B12+12*SUMIFS(D:D,B:B,"*runner pair*")</f>
        <v/>
      </c>
      <c r="E14" s="4" t="inlineStr">
        <is>
          <t>pcs</t>
        </is>
      </c>
      <c r="F14" s="9" t="inlineStr">
        <is>
          <t>4 per hinge plate+cup, 6 per runner side</t>
        </is>
      </c>
    </row>
    <row r="15">
      <c r="A15" s="4" t="inlineStr">
        <is>
          <t>Wall mount</t>
        </is>
      </c>
      <c r="B15" s="9" t="inlineStr">
        <is>
          <t>Wall-cabinet hanging bracket (adjustable) + rail</t>
        </is>
      </c>
      <c r="C15" s="4" t="inlineStr">
        <is>
          <t>pair per cabinet</t>
        </is>
      </c>
      <c r="D15" s="7" t="n">
        <v>14</v>
      </c>
      <c r="E15" s="4" t="inlineStr">
        <is>
          <t>pcs</t>
        </is>
      </c>
      <c r="F15" s="9" t="inlineStr">
        <is>
          <t>7 wall cabinets in the model x 2</t>
        </is>
      </c>
    </row>
    <row r="16">
      <c r="A16" s="4" t="inlineStr">
        <is>
          <t>Wall mount</t>
        </is>
      </c>
      <c r="B16" s="9" t="inlineStr">
        <is>
          <t>Masonry anchors / screws 8 mm</t>
        </is>
      </c>
      <c r="C16" s="4" t="inlineStr">
        <is>
          <t>for brackets + rails</t>
        </is>
      </c>
      <c r="D16" s="7" t="n">
        <v>28</v>
      </c>
      <c r="E16" s="4" t="inlineStr">
        <is>
          <t>pcs</t>
        </is>
      </c>
      <c r="F16" s="9" t="inlineStr">
        <is>
          <t>2 per bracket</t>
        </is>
      </c>
    </row>
    <row r="17">
      <c r="A17" s="4" t="inlineStr">
        <is>
          <t>Finishing</t>
        </is>
      </c>
      <c r="B17" s="9" t="inlineStr">
        <is>
          <t>PVC edge band 22 mm (optional)</t>
        </is>
      </c>
      <c r="C17" s="4" t="inlineStr">
        <is>
          <t>door / drawer front edges</t>
        </is>
      </c>
      <c r="D17" s="5">
        <f>ROUNDUP('Fronts &amp; Hinges'!J48*1.1,0)</f>
        <v/>
      </c>
      <c r="E17" s="4" t="inlineStr">
        <is>
          <t>m</t>
        </is>
      </c>
      <c r="F17" s="9" t="inlineStr">
        <is>
          <t>PVC board edges can stay bare; +10% waste</t>
        </is>
      </c>
    </row>
    <row r="18">
      <c r="A18" s="4" t="inlineStr">
        <is>
          <t>Finishing</t>
        </is>
      </c>
      <c r="B18" s="9" t="inlineStr">
        <is>
          <t>Neutral-cure silicone, white/clear</t>
        </is>
      </c>
      <c r="C18" s="4" t="inlineStr">
        <is>
          <t>sink, countertop joints, backsplash</t>
        </is>
      </c>
      <c r="D18" s="7" t="n">
        <v>3</v>
      </c>
      <c r="E18" s="4" t="inlineStr">
        <is>
          <t>tubes</t>
        </is>
      </c>
      <c r="F18" s="9" t="inlineStr">
        <is>
          <t>rule of thumb</t>
        </is>
      </c>
    </row>
    <row r="19">
      <c r="A19" s="4" t="inlineStr">
        <is>
          <t>Fittings</t>
        </is>
      </c>
      <c r="B19" s="9" t="inlineStr">
        <is>
          <t>Shelf pins (5 mm, 32 mm system)</t>
        </is>
      </c>
      <c r="C19" s="4" t="inlineStr"/>
      <c r="D19" s="7" t="n">
        <v>64</v>
      </c>
      <c r="E19" s="4" t="inlineStr">
        <is>
          <t>pcs</t>
        </is>
      </c>
      <c r="F19" s="9" t="inlineStr">
        <is>
          <t>Over_Ref_Cabinet, Pantry_600, Upper_400, Upper_Appliance_900, Upper_Hood_620, Upper_Over_Washer, Upper_Prep_600</t>
        </is>
      </c>
    </row>
    <row r="20">
      <c r="A20" s="4" t="inlineStr">
        <is>
          <t>Racks &amp; runners</t>
        </is>
      </c>
      <c r="B20" s="9" t="inlineStr">
        <is>
          <t>Toe-kick drawer runner pair 400 mm, low profile, push-to-open</t>
        </is>
      </c>
      <c r="C20" s="4" t="inlineStr"/>
      <c r="D20" s="7" t="n">
        <v>8</v>
      </c>
      <c r="E20" s="4" t="inlineStr">
        <is>
          <t>pcs</t>
        </is>
      </c>
      <c r="F20" s="9" t="inlineStr">
        <is>
          <t>Back_Appliance_Racks_900, Back_Prep_Racks_600, Base_Racks_400, Base_Sink_900, Island_1_Racks_450, Island_2_Induction_750, Island_3_Racks_450, Pantry_600</t>
        </is>
      </c>
    </row>
    <row r="21">
      <c r="A21" s="4" t="inlineStr">
        <is>
          <t>Racks &amp; runners</t>
        </is>
      </c>
      <c r="B21" s="9" t="inlineStr">
        <is>
          <t>Under-sink pull-out tray (door-mounted cabinet)</t>
        </is>
      </c>
      <c r="C21" s="4" t="inlineStr">
        <is>
          <t>839 W x 450 D x 120 H</t>
        </is>
      </c>
      <c r="D21" s="7" t="n">
        <v>1</v>
      </c>
      <c r="E21" s="4" t="inlineStr">
        <is>
          <t>pcs</t>
        </is>
      </c>
      <c r="F21" s="9" t="inlineStr">
        <is>
          <t>Base_Sink_900</t>
        </is>
      </c>
    </row>
    <row r="22">
      <c r="A22" s="4" t="inlineStr">
        <is>
          <t>Racks &amp; runners</t>
        </is>
      </c>
      <c r="B22" s="9" t="inlineStr">
        <is>
          <t>Full-extension soft-close runner pair, 450 mm</t>
        </is>
      </c>
      <c r="C22" s="4" t="inlineStr"/>
      <c r="D22" s="7" t="n">
        <v>1</v>
      </c>
      <c r="E22" s="4" t="inlineStr">
        <is>
          <t>pcs</t>
        </is>
      </c>
      <c r="F22" s="9" t="inlineStr">
        <is>
          <t>Base_Sink_900</t>
        </is>
      </c>
    </row>
    <row r="23">
      <c r="A23" s="4" t="inlineStr">
        <is>
          <t>Racks &amp; runners</t>
        </is>
      </c>
      <c r="B23" s="9" t="inlineStr">
        <is>
          <t>Pot / pan basket (400 cabinet size, 364 clear, 500 runners)</t>
        </is>
      </c>
      <c r="C23" s="4" t="inlineStr">
        <is>
          <t>339 W x 500 D x 200 H</t>
        </is>
      </c>
      <c r="D23" s="7" t="n">
        <v>1</v>
      </c>
      <c r="E23" s="4" t="inlineStr">
        <is>
          <t>pcs</t>
        </is>
      </c>
      <c r="F23" s="9" t="inlineStr">
        <is>
          <t>Base_Racks_400</t>
        </is>
      </c>
    </row>
    <row r="24">
      <c r="A24" s="4" t="inlineStr">
        <is>
          <t>Racks &amp; runners</t>
        </is>
      </c>
      <c r="B24" s="9" t="inlineStr">
        <is>
          <t>Full-extension soft-close runner pair, 500 mm</t>
        </is>
      </c>
      <c r="C24" s="4" t="inlineStr"/>
      <c r="D24" s="7" t="n">
        <v>17</v>
      </c>
      <c r="E24" s="4" t="inlineStr">
        <is>
          <t>pcs</t>
        </is>
      </c>
      <c r="F24" s="9" t="inlineStr">
        <is>
          <t>Back_Appliance_Racks_900, Back_Prep_Racks_600, Base_Racks_400, Island_1_Racks_450, Island_2_Induction_750, Island_3_Racks_450</t>
        </is>
      </c>
    </row>
    <row r="25">
      <c r="A25" s="4" t="inlineStr">
        <is>
          <t>Racks &amp; runners</t>
        </is>
      </c>
      <c r="B25" s="9" t="inlineStr">
        <is>
          <t>Bowl + plate basket (400 cabinet size, 364 clear, 500 runners)</t>
        </is>
      </c>
      <c r="C25" s="4" t="inlineStr">
        <is>
          <t>339 W x 500 D x 150 H</t>
        </is>
      </c>
      <c r="D25" s="7" t="n">
        <v>1</v>
      </c>
      <c r="E25" s="4" t="inlineStr">
        <is>
          <t>pcs</t>
        </is>
      </c>
      <c r="F25" s="9" t="inlineStr">
        <is>
          <t>Base_Racks_400</t>
        </is>
      </c>
    </row>
    <row r="26">
      <c r="A26" s="4" t="inlineStr">
        <is>
          <t>Racks &amp; runners</t>
        </is>
      </c>
      <c r="B26" s="9" t="inlineStr">
        <is>
          <t>Cutlery / utensil tray (400 cabinet size, 364 clear, 500 runners)</t>
        </is>
      </c>
      <c r="C26" s="4" t="inlineStr">
        <is>
          <t>339 W x 500 D x 70 H</t>
        </is>
      </c>
      <c r="D26" s="7" t="n">
        <v>1</v>
      </c>
      <c r="E26" s="4" t="inlineStr">
        <is>
          <t>pcs</t>
        </is>
      </c>
      <c r="F26" s="9" t="inlineStr">
        <is>
          <t>Base_Racks_400</t>
        </is>
      </c>
    </row>
    <row r="27">
      <c r="A27" s="4" t="inlineStr">
        <is>
          <t>Appliance fit</t>
        </is>
      </c>
      <c r="B27" s="9" t="inlineStr">
        <is>
          <t>Flat duct 204x60 + 150 round-to-flat adapter, up the cabinet back to the ceiling (cut-out in the cabinet top)</t>
        </is>
      </c>
      <c r="C27" s="4" t="inlineStr"/>
      <c r="D27" s="7" t="n">
        <v>1</v>
      </c>
      <c r="E27" s="4" t="inlineStr">
        <is>
          <t>pcs</t>
        </is>
      </c>
      <c r="F27" s="9" t="inlineStr">
        <is>
          <t>Upper_Hood_620</t>
        </is>
      </c>
    </row>
    <row r="28">
      <c r="A28" s="4" t="inlineStr">
        <is>
          <t>Appliance fit</t>
        </is>
      </c>
      <c r="B28" s="9" t="inlineStr">
        <is>
          <t>Built-in telescopic range hood 60 cm (body &lt;= 560 W for a 584 clear cabinet), ducted, 150 outlet</t>
        </is>
      </c>
      <c r="C28" s="4" t="inlineStr">
        <is>
          <t>560 W x 280 D x 180 H</t>
        </is>
      </c>
      <c r="D28" s="7" t="n">
        <v>1</v>
      </c>
      <c r="E28" s="4" t="inlineStr">
        <is>
          <t>pcs</t>
        </is>
      </c>
      <c r="F28" s="9" t="inlineStr">
        <is>
          <t>Upper_Hood_620</t>
        </is>
      </c>
    </row>
    <row r="29">
      <c r="A29" s="4" t="inlineStr">
        <is>
          <t>Finishing</t>
        </is>
      </c>
      <c r="B29" s="9" t="inlineStr">
        <is>
          <t>Paint / wrap the exposed pipe (counter -&gt; wall cabinet) to match the backsplash</t>
        </is>
      </c>
      <c r="C29" s="4" t="inlineStr">
        <is>
          <t>458 H section</t>
        </is>
      </c>
      <c r="D29" s="7" t="n">
        <v>1</v>
      </c>
      <c r="E29" s="4" t="inlineStr">
        <is>
          <t>lot</t>
        </is>
      </c>
      <c r="F29" s="9" t="inlineStr">
        <is>
          <t>Washer_Bay</t>
        </is>
      </c>
    </row>
    <row r="30">
      <c r="A30" s="4" t="inlineStr">
        <is>
          <t>Racks &amp; runners</t>
        </is>
      </c>
      <c r="B30" s="9" t="inlineStr">
        <is>
          <t>Dish drainer drip tray</t>
        </is>
      </c>
      <c r="C30" s="4" t="inlineStr">
        <is>
          <t>854 W x 274 D x 25 H</t>
        </is>
      </c>
      <c r="D30" s="7" t="n">
        <v>1</v>
      </c>
      <c r="E30" s="4" t="inlineStr">
        <is>
          <t>pcs</t>
        </is>
      </c>
      <c r="F30" s="9" t="inlineStr">
        <is>
          <t>Upper_Sink_900</t>
        </is>
      </c>
    </row>
    <row r="31">
      <c r="A31" s="4" t="inlineStr">
        <is>
          <t>Racks &amp; runners</t>
        </is>
      </c>
      <c r="B31" s="9" t="inlineStr">
        <is>
          <t>Dish drainer, plate tier (900 cabinet)</t>
        </is>
      </c>
      <c r="C31" s="4" t="inlineStr">
        <is>
          <t>854 W x 274 D x 120 H</t>
        </is>
      </c>
      <c r="D31" s="7" t="n">
        <v>1</v>
      </c>
      <c r="E31" s="4" t="inlineStr">
        <is>
          <t>pcs</t>
        </is>
      </c>
      <c r="F31" s="9" t="inlineStr">
        <is>
          <t>Upper_Sink_900</t>
        </is>
      </c>
    </row>
    <row r="32">
      <c r="A32" s="4" t="inlineStr">
        <is>
          <t>Racks &amp; runners</t>
        </is>
      </c>
      <c r="B32" s="9" t="inlineStr">
        <is>
          <t>Dish drainer, cup / bowl tier (900 cabinet)</t>
        </is>
      </c>
      <c r="C32" s="4" t="inlineStr">
        <is>
          <t>854 W x 274 D x 80 H</t>
        </is>
      </c>
      <c r="D32" s="7" t="n">
        <v>1</v>
      </c>
      <c r="E32" s="4" t="inlineStr">
        <is>
          <t>pcs</t>
        </is>
      </c>
      <c r="F32" s="9" t="inlineStr">
        <is>
          <t>Upper_Sink_900</t>
        </is>
      </c>
    </row>
    <row r="33">
      <c r="A33" s="4" t="inlineStr">
        <is>
          <t>Racks &amp; runners</t>
        </is>
      </c>
      <c r="B33" s="9" t="inlineStr">
        <is>
          <t>Pot / pan basket (600 cabinet size, 564 clear, 500 runners)</t>
        </is>
      </c>
      <c r="C33" s="4" t="inlineStr">
        <is>
          <t>539 W x 500 D x 200 H</t>
        </is>
      </c>
      <c r="D33" s="7" t="n">
        <v>1</v>
      </c>
      <c r="E33" s="4" t="inlineStr">
        <is>
          <t>pcs</t>
        </is>
      </c>
      <c r="F33" s="9" t="inlineStr">
        <is>
          <t>Back_Prep_Racks_600</t>
        </is>
      </c>
    </row>
    <row r="34">
      <c r="A34" s="4" t="inlineStr">
        <is>
          <t>Racks &amp; runners</t>
        </is>
      </c>
      <c r="B34" s="9" t="inlineStr">
        <is>
          <t>Bowl + plate basket (600 cabinet size, 564 clear, 500 runners)</t>
        </is>
      </c>
      <c r="C34" s="4" t="inlineStr">
        <is>
          <t>539 W x 500 D x 150 H</t>
        </is>
      </c>
      <c r="D34" s="7" t="n">
        <v>1</v>
      </c>
      <c r="E34" s="4" t="inlineStr">
        <is>
          <t>pcs</t>
        </is>
      </c>
      <c r="F34" s="9" t="inlineStr">
        <is>
          <t>Back_Prep_Racks_600</t>
        </is>
      </c>
    </row>
    <row r="35">
      <c r="A35" s="4" t="inlineStr">
        <is>
          <t>Racks &amp; runners</t>
        </is>
      </c>
      <c r="B35" s="9" t="inlineStr">
        <is>
          <t>Cutlery / utensil tray (600 cabinet size, 564 clear, 500 runners)</t>
        </is>
      </c>
      <c r="C35" s="4" t="inlineStr">
        <is>
          <t>539 W x 500 D x 70 H</t>
        </is>
      </c>
      <c r="D35" s="7" t="n">
        <v>1</v>
      </c>
      <c r="E35" s="4" t="inlineStr">
        <is>
          <t>pcs</t>
        </is>
      </c>
      <c r="F35" s="9" t="inlineStr">
        <is>
          <t>Back_Prep_Racks_600</t>
        </is>
      </c>
    </row>
    <row r="36">
      <c r="A36" s="4" t="inlineStr">
        <is>
          <t>Racks &amp; runners</t>
        </is>
      </c>
      <c r="B36" s="9" t="inlineStr">
        <is>
          <t>Pot / pan basket (900 cabinet size, 864 clear, 500 runners)</t>
        </is>
      </c>
      <c r="C36" s="4" t="inlineStr">
        <is>
          <t>839 W x 500 D x 200 H</t>
        </is>
      </c>
      <c r="D36" s="7" t="n">
        <v>1</v>
      </c>
      <c r="E36" s="4" t="inlineStr">
        <is>
          <t>pcs</t>
        </is>
      </c>
      <c r="F36" s="9" t="inlineStr">
        <is>
          <t>Back_Appliance_Racks_900</t>
        </is>
      </c>
    </row>
    <row r="37">
      <c r="A37" s="4" t="inlineStr">
        <is>
          <t>Racks &amp; runners</t>
        </is>
      </c>
      <c r="B37" s="9" t="inlineStr">
        <is>
          <t>Bowl + plate basket (900 cabinet size, 864 clear, 500 runners)</t>
        </is>
      </c>
      <c r="C37" s="4" t="inlineStr">
        <is>
          <t>839 W x 500 D x 150 H</t>
        </is>
      </c>
      <c r="D37" s="7" t="n">
        <v>1</v>
      </c>
      <c r="E37" s="4" t="inlineStr">
        <is>
          <t>pcs</t>
        </is>
      </c>
      <c r="F37" s="9" t="inlineStr">
        <is>
          <t>Back_Appliance_Racks_900</t>
        </is>
      </c>
    </row>
    <row r="38">
      <c r="A38" s="4" t="inlineStr">
        <is>
          <t>Racks &amp; runners</t>
        </is>
      </c>
      <c r="B38" s="9" t="inlineStr">
        <is>
          <t>Cutlery / utensil tray (900 cabinet size, 864 clear, 500 runners)</t>
        </is>
      </c>
      <c r="C38" s="4" t="inlineStr">
        <is>
          <t>839 W x 500 D x 70 H</t>
        </is>
      </c>
      <c r="D38" s="7" t="n">
        <v>1</v>
      </c>
      <c r="E38" s="4" t="inlineStr">
        <is>
          <t>pcs</t>
        </is>
      </c>
      <c r="F38" s="9" t="inlineStr">
        <is>
          <t>Back_Appliance_Racks_900</t>
        </is>
      </c>
    </row>
    <row r="39">
      <c r="A39" s="4" t="inlineStr">
        <is>
          <t>Electrical</t>
        </is>
      </c>
      <c r="B39" s="9" t="inlineStr">
        <is>
          <t>Backsplash outlet over the prep counter (electrician, new circuit)</t>
        </is>
      </c>
      <c r="C39" s="4" t="inlineStr"/>
      <c r="D39" s="7" t="n">
        <v>1</v>
      </c>
      <c r="E39" s="4" t="inlineStr">
        <is>
          <t>pcs</t>
        </is>
      </c>
      <c r="F39" s="9" t="inlineStr">
        <is>
          <t>Back_Base</t>
        </is>
      </c>
    </row>
    <row r="40">
      <c r="A40" s="4" t="inlineStr">
        <is>
          <t>Electrical</t>
        </is>
      </c>
      <c r="B40" s="9" t="inlineStr">
        <is>
          <t>Appliance-garage outlets: double socket x2 on the back wall inside the garage (coffee maker, microwave, mixer) - electrician, own 20 A circuit for the microwave</t>
        </is>
      </c>
      <c r="C40" s="4" t="inlineStr"/>
      <c r="D40" s="7" t="n">
        <v>2</v>
      </c>
      <c r="E40" s="4" t="inlineStr">
        <is>
          <t>pcs</t>
        </is>
      </c>
      <c r="F40" s="9" t="inlineStr">
        <is>
          <t>Appliance_Garage_900</t>
        </is>
      </c>
    </row>
    <row r="41">
      <c r="A41" s="4" t="inlineStr">
        <is>
          <t>Fittings</t>
        </is>
      </c>
      <c r="B41" s="9" t="inlineStr">
        <is>
          <t>Garage doors: open the doors while the microwave / coffee maker runs (heat + steam); max microwave ~ 500 W x 300 H x 370 D</t>
        </is>
      </c>
      <c r="C41" s="4" t="inlineStr"/>
      <c r="D41" s="7" t="n">
        <v>1</v>
      </c>
      <c r="E41" s="4" t="inlineStr">
        <is>
          <t>pcs</t>
        </is>
      </c>
      <c r="F41" s="9" t="inlineStr">
        <is>
          <t>Appliance_Garage_900</t>
        </is>
      </c>
    </row>
    <row r="42">
      <c r="A42" s="4" t="inlineStr">
        <is>
          <t>Racks &amp; runners</t>
        </is>
      </c>
      <c r="B42" s="9" t="inlineStr">
        <is>
          <t>Door-mounted pantry racks (optional, lower door): check shelf setback</t>
        </is>
      </c>
      <c r="C42" s="4" t="inlineStr"/>
      <c r="D42" s="7" t="n">
        <v>1</v>
      </c>
      <c r="E42" s="4" t="inlineStr">
        <is>
          <t>pcs</t>
        </is>
      </c>
      <c r="F42" s="9" t="inlineStr">
        <is>
          <t>Pantry_600</t>
        </is>
      </c>
    </row>
    <row r="43">
      <c r="A43" s="4" t="inlineStr">
        <is>
          <t>Racks &amp; runners</t>
        </is>
      </c>
      <c r="B43" s="9" t="inlineStr">
        <is>
          <t>Pot / pan basket (450 cabinet size, 414 clear, 500 runners)</t>
        </is>
      </c>
      <c r="C43" s="4" t="inlineStr">
        <is>
          <t>389 W x 500 D x 200 H</t>
        </is>
      </c>
      <c r="D43" s="7" t="n">
        <v>2</v>
      </c>
      <c r="E43" s="4" t="inlineStr">
        <is>
          <t>pcs</t>
        </is>
      </c>
      <c r="F43" s="9" t="inlineStr">
        <is>
          <t>Island_1_Racks_450, Island_3_Racks_450</t>
        </is>
      </c>
    </row>
    <row r="44">
      <c r="A44" s="4" t="inlineStr">
        <is>
          <t>Racks &amp; runners</t>
        </is>
      </c>
      <c r="B44" s="9" t="inlineStr">
        <is>
          <t>Bowl + plate basket (450 cabinet size, 414 clear, 500 runners)</t>
        </is>
      </c>
      <c r="C44" s="4" t="inlineStr">
        <is>
          <t>389 W x 500 D x 150 H</t>
        </is>
      </c>
      <c r="D44" s="7" t="n">
        <v>2</v>
      </c>
      <c r="E44" s="4" t="inlineStr">
        <is>
          <t>pcs</t>
        </is>
      </c>
      <c r="F44" s="9" t="inlineStr">
        <is>
          <t>Island_1_Racks_450, Island_3_Racks_450</t>
        </is>
      </c>
    </row>
    <row r="45">
      <c r="A45" s="4" t="inlineStr">
        <is>
          <t>Racks &amp; runners</t>
        </is>
      </c>
      <c r="B45" s="9" t="inlineStr">
        <is>
          <t>Cutlery / utensil tray (450 cabinet size, 414 clear, 500 runners)</t>
        </is>
      </c>
      <c r="C45" s="4" t="inlineStr">
        <is>
          <t>389 W x 500 D x 70 H</t>
        </is>
      </c>
      <c r="D45" s="7" t="n">
        <v>2</v>
      </c>
      <c r="E45" s="4" t="inlineStr">
        <is>
          <t>pcs</t>
        </is>
      </c>
      <c r="F45" s="9" t="inlineStr">
        <is>
          <t>Island_1_Racks_450, Island_3_Racks_450</t>
        </is>
      </c>
    </row>
    <row r="46">
      <c r="A46" s="4" t="inlineStr">
        <is>
          <t>Racks &amp; runners</t>
        </is>
      </c>
      <c r="B46" s="9" t="inlineStr">
        <is>
          <t>Deep pot basket (750 cabinet size, 714 clear, 500 runners)</t>
        </is>
      </c>
      <c r="C46" s="4" t="inlineStr">
        <is>
          <t>689 W x 500 D x 250 H</t>
        </is>
      </c>
      <c r="D46" s="7" t="n">
        <v>1</v>
      </c>
      <c r="E46" s="4" t="inlineStr">
        <is>
          <t>pcs</t>
        </is>
      </c>
      <c r="F46" s="9" t="inlineStr">
        <is>
          <t>Island_2_Induction_750</t>
        </is>
      </c>
    </row>
    <row r="47">
      <c r="A47" s="4" t="inlineStr">
        <is>
          <t>Racks &amp; runners</t>
        </is>
      </c>
      <c r="B47" s="9" t="inlineStr">
        <is>
          <t>Pot / pan basket (750 cabinet size, 714 clear, 500 runners)</t>
        </is>
      </c>
      <c r="C47" s="4" t="inlineStr">
        <is>
          <t>689 W x 500 D x 200 H</t>
        </is>
      </c>
      <c r="D47" s="7" t="n">
        <v>1</v>
      </c>
      <c r="E47" s="4" t="inlineStr">
        <is>
          <t>pcs</t>
        </is>
      </c>
      <c r="F47" s="9" t="inlineStr">
        <is>
          <t>Island_2_Induction_750</t>
        </is>
      </c>
    </row>
    <row r="48">
      <c r="A48" s="4" t="inlineStr">
        <is>
          <t>Appliance fit</t>
        </is>
      </c>
      <c r="B48" s="9" t="inlineStr">
        <is>
          <t>Vent grille / 6 mm gap behind the top fixed front (induction air)</t>
        </is>
      </c>
      <c r="C48" s="4" t="inlineStr"/>
      <c r="D48" s="7" t="n">
        <v>1</v>
      </c>
      <c r="E48" s="4" t="inlineStr">
        <is>
          <t>pcs</t>
        </is>
      </c>
      <c r="F48" s="9" t="inlineStr">
        <is>
          <t>Island_2_Induction_750</t>
        </is>
      </c>
    </row>
    <row r="49">
      <c r="A49" s="4" t="inlineStr">
        <is>
          <t>Electrical</t>
        </is>
      </c>
      <c r="B49" s="9" t="inlineStr">
        <is>
          <t>Induction power: dedicated circuit in floor conduit to the island</t>
        </is>
      </c>
      <c r="C49" s="4" t="inlineStr"/>
      <c r="D49" s="7" t="n">
        <v>1</v>
      </c>
      <c r="E49" s="4" t="inlineStr">
        <is>
          <t>pcs</t>
        </is>
      </c>
      <c r="F49" s="9" t="inlineStr">
        <is>
          <t>Island</t>
        </is>
      </c>
    </row>
    <row r="50">
      <c r="A50" s="4" t="inlineStr">
        <is>
          <t>Lighting</t>
        </is>
      </c>
      <c r="B50" s="9" t="inlineStr">
        <is>
          <t>Ch1 under-cabinet: 24 V COB LED strip 4000K 10 W/m + Al profile 16x7 with diffuser</t>
        </is>
      </c>
      <c r="C50" s="4" t="inlineStr"/>
      <c r="D50" s="10" t="n">
        <v>1.81</v>
      </c>
      <c r="E50" s="4" t="inlineStr">
        <is>
          <t>m</t>
        </is>
      </c>
      <c r="F50" s="9" t="inlineStr">
        <is>
          <t>Lighting_LED</t>
        </is>
      </c>
    </row>
    <row r="51">
      <c r="A51" s="4" t="inlineStr">
        <is>
          <t>Lighting</t>
        </is>
      </c>
      <c r="B51" s="9" t="inlineStr">
        <is>
          <t>Ch1 under-cabinet: 24 V LED driver 30 W</t>
        </is>
      </c>
      <c r="C51" s="4" t="inlineStr"/>
      <c r="D51" s="7" t="n">
        <v>1</v>
      </c>
      <c r="E51" s="4" t="inlineStr">
        <is>
          <t>pcs</t>
        </is>
      </c>
      <c r="F51" s="9" t="inlineStr">
        <is>
          <t>Lighting_LED</t>
        </is>
      </c>
    </row>
    <row r="52">
      <c r="A52" s="4" t="inlineStr">
        <is>
          <t>Lighting</t>
        </is>
      </c>
      <c r="B52" s="9" t="inlineStr">
        <is>
          <t>Ch2 toe-kick wall run: 24 V COB LED strip 4000K 10 W/m + Al profile 16x7 with diffuser</t>
        </is>
      </c>
      <c r="C52" s="4" t="inlineStr"/>
      <c r="D52" s="10" t="n">
        <v>1.29</v>
      </c>
      <c r="E52" s="4" t="inlineStr">
        <is>
          <t>m</t>
        </is>
      </c>
      <c r="F52" s="9" t="inlineStr">
        <is>
          <t>Lighting_LED</t>
        </is>
      </c>
    </row>
    <row r="53">
      <c r="A53" s="4" t="inlineStr">
        <is>
          <t>Lighting</t>
        </is>
      </c>
      <c r="B53" s="9" t="inlineStr">
        <is>
          <t>Ch2 toe-kick wall run: 24 V LED driver 20 W</t>
        </is>
      </c>
      <c r="C53" s="4" t="inlineStr"/>
      <c r="D53" s="7" t="n">
        <v>1</v>
      </c>
      <c r="E53" s="4" t="inlineStr">
        <is>
          <t>pcs</t>
        </is>
      </c>
      <c r="F53" s="9" t="inlineStr">
        <is>
          <t>Lighting_LED</t>
        </is>
      </c>
    </row>
    <row r="54">
      <c r="A54" s="4" t="inlineStr">
        <is>
          <t>Lighting</t>
        </is>
      </c>
      <c r="B54" s="9" t="inlineStr">
        <is>
          <t>Ch3 toe-kick island: 24 V COB LED strip 4000K 10 W/m + Al profile 16x7 with diffuser</t>
        </is>
      </c>
      <c r="C54" s="4" t="inlineStr"/>
      <c r="D54" s="10" t="n">
        <v>1.64</v>
      </c>
      <c r="E54" s="4" t="inlineStr">
        <is>
          <t>m</t>
        </is>
      </c>
      <c r="F54" s="9" t="inlineStr">
        <is>
          <t>Lighting_LED</t>
        </is>
      </c>
    </row>
    <row r="55">
      <c r="A55" s="4" t="inlineStr">
        <is>
          <t>Lighting</t>
        </is>
      </c>
      <c r="B55" s="9" t="inlineStr">
        <is>
          <t>Ch3 toe-kick island: 24 V LED driver 30 W</t>
        </is>
      </c>
      <c r="C55" s="4" t="inlineStr"/>
      <c r="D55" s="7" t="n">
        <v>1</v>
      </c>
      <c r="E55" s="4" t="inlineStr">
        <is>
          <t>pcs</t>
        </is>
      </c>
      <c r="F55" s="9" t="inlineStr">
        <is>
          <t>Lighting_LED</t>
        </is>
      </c>
    </row>
    <row r="56">
      <c r="A56" s="4" t="inlineStr">
        <is>
          <t>Lighting</t>
        </is>
      </c>
      <c r="B56" s="9" t="inlineStr">
        <is>
          <t>Ch4 under-cabinet back wall: 24 V COB LED strip 4000K 10 W/m + Al profile 16x7 with diffuser</t>
        </is>
      </c>
      <c r="C56" s="4" t="inlineStr"/>
      <c r="D56" s="10" t="n">
        <v>1.41</v>
      </c>
      <c r="E56" s="4" t="inlineStr">
        <is>
          <t>m</t>
        </is>
      </c>
      <c r="F56" s="9" t="inlineStr">
        <is>
          <t>Lighting_LED</t>
        </is>
      </c>
    </row>
    <row r="57">
      <c r="A57" s="4" t="inlineStr">
        <is>
          <t>Lighting</t>
        </is>
      </c>
      <c r="B57" s="9" t="inlineStr">
        <is>
          <t>Ch4 under-cabinet back wall: 24 V LED driver 20 W</t>
        </is>
      </c>
      <c r="C57" s="4" t="inlineStr"/>
      <c r="D57" s="7" t="n">
        <v>1</v>
      </c>
      <c r="E57" s="4" t="inlineStr">
        <is>
          <t>pcs</t>
        </is>
      </c>
      <c r="F57" s="9" t="inlineStr">
        <is>
          <t>Lighting_LED</t>
        </is>
      </c>
    </row>
    <row r="58">
      <c r="A58" s="4" t="inlineStr">
        <is>
          <t>Lighting</t>
        </is>
      </c>
      <c r="B58" s="9" t="inlineStr">
        <is>
          <t>Wall switch (backsplash) for the under-cabinet lights (left run + back wall)</t>
        </is>
      </c>
      <c r="C58" s="4" t="inlineStr"/>
      <c r="D58" s="7" t="n">
        <v>2</v>
      </c>
      <c r="E58" s="4" t="inlineStr">
        <is>
          <t>pcs</t>
        </is>
      </c>
      <c r="F58" s="9" t="inlineStr">
        <is>
          <t>Lighting_LED</t>
        </is>
      </c>
    </row>
    <row r="59">
      <c r="A59" s="4" t="inlineStr">
        <is>
          <t>Lighting</t>
        </is>
      </c>
      <c r="B59" s="9" t="inlineStr">
        <is>
          <t>PIR motion sensor for 24 V strip (toe-kick)</t>
        </is>
      </c>
      <c r="C59" s="4" t="inlineStr"/>
      <c r="D59" s="7" t="n">
        <v>2</v>
      </c>
      <c r="E59" s="4" t="inlineStr">
        <is>
          <t>pcs</t>
        </is>
      </c>
      <c r="F59" s="9" t="inlineStr">
        <is>
          <t>Lighting_LED</t>
        </is>
      </c>
    </row>
    <row r="60">
      <c r="A60" s="4" t="inlineStr">
        <is>
          <t>Lighting</t>
        </is>
      </c>
      <c r="B60" s="9" t="inlineStr">
        <is>
          <t>24 V cable 2 x 0.75 mm2 (+20% spare)</t>
        </is>
      </c>
      <c r="C60" s="4" t="inlineStr"/>
      <c r="D60" s="10" t="n">
        <v>12.7</v>
      </c>
      <c r="E60" s="4" t="inlineStr">
        <is>
          <t>m</t>
        </is>
      </c>
      <c r="F60" s="9" t="inlineStr">
        <is>
          <t>Lighting_LED</t>
        </is>
      </c>
    </row>
    <row r="61">
      <c r="A61" s="4" t="inlineStr">
        <is>
          <t>Lighting</t>
        </is>
      </c>
      <c r="B61" s="9" t="inlineStr">
        <is>
          <t>230 V feed to drivers / switch (electrician, in conduit)</t>
        </is>
      </c>
      <c r="C61" s="4" t="inlineStr"/>
      <c r="D61" s="10" t="n">
        <v>11.1</v>
      </c>
      <c r="E61" s="4" t="inlineStr">
        <is>
          <t>m</t>
        </is>
      </c>
      <c r="F61" s="9" t="inlineStr">
        <is>
          <t>Lighting_LED</t>
        </is>
      </c>
    </row>
    <row r="62">
      <c r="A62" s="4" t="inlineStr">
        <is>
          <t>Lighting</t>
        </is>
      </c>
      <c r="B62" s="9" t="inlineStr">
        <is>
          <t>Cable grommets 10 mm (cabinet top / bottom / carcass holes)</t>
        </is>
      </c>
      <c r="C62" s="4" t="inlineStr"/>
      <c r="D62" s="7" t="n">
        <v>8</v>
      </c>
      <c r="E62" s="4" t="inlineStr">
        <is>
          <t>pcs</t>
        </is>
      </c>
      <c r="F62" s="9" t="inlineStr">
        <is>
          <t>Lighting_LED</t>
        </is>
      </c>
    </row>
  </sheetData>
  <autoFilter ref="A4:F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6" customWidth="1" min="4" max="4"/>
    <col width="9" customWidth="1" min="5" max="5"/>
    <col width="9" customWidth="1" min="6" max="6"/>
    <col width="10" customWidth="1" min="7" max="7"/>
    <col width="18" customWidth="1" min="8" max="8"/>
    <col width="9" customWidth="1" min="9" max="9"/>
    <col width="34" customWidth="1" min="10" max="10"/>
    <col width="14" customWidth="1" min="11" max="11"/>
  </cols>
  <sheetData>
    <row r="1">
      <c r="A1" s="1" t="inlineStr">
        <is>
          <t>Kitchen v3 - Cut List (all sizes in mm, finished size, no edge allowance)</t>
        </is>
      </c>
    </row>
    <row r="2">
      <c r="A2" s="2" t="inlineStr">
        <is>
          <t>From build_kitchen_v3.py. PVC has no grain: parts may be rotated on the sheet. 'Notched' parts: cut the full rectangle, then the notch shown in the FreeCAD model.</t>
        </is>
      </c>
    </row>
    <row r="4">
      <c r="A4" s="3" t="inlineStr">
        <is>
          <t>Ref #</t>
        </is>
      </c>
      <c r="B4" s="3" t="inlineStr">
        <is>
          <t>Module</t>
        </is>
      </c>
      <c r="C4" s="3" t="inlineStr">
        <is>
          <t>Part</t>
        </is>
      </c>
      <c r="D4" s="3" t="inlineStr">
        <is>
          <t>Qty</t>
        </is>
      </c>
      <c r="E4" s="3" t="inlineStr">
        <is>
          <t>Length</t>
        </is>
      </c>
      <c r="F4" s="3" t="inlineStr">
        <is>
          <t>Width</t>
        </is>
      </c>
      <c r="G4" s="3" t="inlineStr">
        <is>
          <t>Thickness</t>
        </is>
      </c>
      <c r="H4" s="3" t="inlineStr">
        <is>
          <t>Material</t>
        </is>
      </c>
      <c r="I4" s="3" t="inlineStr">
        <is>
          <t>Area m²</t>
        </is>
      </c>
      <c r="J4" s="3" t="inlineStr">
        <is>
          <t>Note</t>
        </is>
      </c>
      <c r="K4" s="3" t="inlineStr">
        <is>
          <t>On sheet(s)</t>
        </is>
      </c>
    </row>
    <row r="5">
      <c r="A5" s="4" t="n">
        <v>1</v>
      </c>
      <c r="B5" s="4" t="inlineStr">
        <is>
          <t>Appliance_Garage_900</t>
        </is>
      </c>
      <c r="C5" s="4" t="inlineStr">
        <is>
          <t>Door_1</t>
        </is>
      </c>
      <c r="D5" s="5" t="n">
        <v>1</v>
      </c>
      <c r="E5" s="11" t="n">
        <v>455</v>
      </c>
      <c r="F5" s="11" t="n">
        <v>447</v>
      </c>
      <c r="G5" s="5" t="n">
        <v>18</v>
      </c>
      <c r="H5" s="4" t="inlineStr">
        <is>
          <t>PVC board 18 mm</t>
        </is>
      </c>
      <c r="I5" s="12">
        <f>D5*E5*F5/1000000</f>
        <v/>
      </c>
      <c r="J5" s="4" t="inlineStr"/>
      <c r="K5" s="4" t="inlineStr">
        <is>
          <t>A19</t>
        </is>
      </c>
    </row>
    <row r="6">
      <c r="A6" s="4" t="n">
        <v>2</v>
      </c>
      <c r="B6" s="4" t="inlineStr">
        <is>
          <t>Appliance_Garage_900</t>
        </is>
      </c>
      <c r="C6" s="4" t="inlineStr">
        <is>
          <t>Door_2</t>
        </is>
      </c>
      <c r="D6" s="5" t="n">
        <v>1</v>
      </c>
      <c r="E6" s="11" t="n">
        <v>455</v>
      </c>
      <c r="F6" s="11" t="n">
        <v>447</v>
      </c>
      <c r="G6" s="5" t="n">
        <v>18</v>
      </c>
      <c r="H6" s="4" t="inlineStr">
        <is>
          <t>PVC board 18 mm</t>
        </is>
      </c>
      <c r="I6" s="12">
        <f>D6*E6*F6/1000000</f>
        <v/>
      </c>
      <c r="J6" s="4" t="inlineStr"/>
      <c r="K6" s="4" t="inlineStr">
        <is>
          <t>A19</t>
        </is>
      </c>
    </row>
    <row r="7">
      <c r="A7" s="4" t="n">
        <v>3</v>
      </c>
      <c r="B7" s="4" t="inlineStr">
        <is>
          <t>Appliance_Garage_900</t>
        </is>
      </c>
      <c r="C7" s="4" t="inlineStr">
        <is>
          <t>Side_A</t>
        </is>
      </c>
      <c r="D7" s="5" t="n">
        <v>1</v>
      </c>
      <c r="E7" s="11" t="n">
        <v>458</v>
      </c>
      <c r="F7" s="11" t="n">
        <v>382</v>
      </c>
      <c r="G7" s="5" t="n">
        <v>18</v>
      </c>
      <c r="H7" s="4" t="inlineStr">
        <is>
          <t>PVC board 18 mm</t>
        </is>
      </c>
      <c r="I7" s="12">
        <f>D7*E7*F7/1000000</f>
        <v/>
      </c>
      <c r="J7" s="4" t="inlineStr"/>
      <c r="K7" s="4" t="inlineStr">
        <is>
          <t>A19</t>
        </is>
      </c>
    </row>
    <row r="8">
      <c r="A8" s="4" t="n">
        <v>4</v>
      </c>
      <c r="B8" s="4" t="inlineStr">
        <is>
          <t>Appliance_Garage_900</t>
        </is>
      </c>
      <c r="C8" s="4" t="inlineStr">
        <is>
          <t>Side_B</t>
        </is>
      </c>
      <c r="D8" s="5" t="n">
        <v>1</v>
      </c>
      <c r="E8" s="11" t="n">
        <v>458</v>
      </c>
      <c r="F8" s="11" t="n">
        <v>382</v>
      </c>
      <c r="G8" s="5" t="n">
        <v>18</v>
      </c>
      <c r="H8" s="4" t="inlineStr">
        <is>
          <t>PVC board 18 mm</t>
        </is>
      </c>
      <c r="I8" s="12">
        <f>D8*E8*F8/1000000</f>
        <v/>
      </c>
      <c r="J8" s="4" t="inlineStr"/>
      <c r="K8" s="4" t="inlineStr">
        <is>
          <t>A19</t>
        </is>
      </c>
    </row>
    <row r="9">
      <c r="A9" s="4" t="n">
        <v>5</v>
      </c>
      <c r="B9" s="4" t="inlineStr">
        <is>
          <t>Back_Appliance_Racks_900</t>
        </is>
      </c>
      <c r="C9" s="4" t="inlineStr">
        <is>
          <t>Back</t>
        </is>
      </c>
      <c r="D9" s="5" t="n">
        <v>1</v>
      </c>
      <c r="E9" s="11" t="n">
        <v>900</v>
      </c>
      <c r="F9" s="11" t="n">
        <v>776</v>
      </c>
      <c r="G9" s="5" t="n">
        <v>18</v>
      </c>
      <c r="H9" s="4" t="inlineStr">
        <is>
          <t>PVC board 18 mm</t>
        </is>
      </c>
      <c r="I9" s="12">
        <f>D9*E9*F9/1000000</f>
        <v/>
      </c>
      <c r="J9" s="4" t="inlineStr"/>
      <c r="K9" s="4" t="inlineStr">
        <is>
          <t>A11</t>
        </is>
      </c>
    </row>
    <row r="10">
      <c r="A10" s="4" t="n">
        <v>6</v>
      </c>
      <c r="B10" s="4" t="inlineStr">
        <is>
          <t>Back_Appliance_Racks_900</t>
        </is>
      </c>
      <c r="C10" s="4" t="inlineStr">
        <is>
          <t>Bottom</t>
        </is>
      </c>
      <c r="D10" s="5" t="n">
        <v>1</v>
      </c>
      <c r="E10" s="11" t="n">
        <v>864</v>
      </c>
      <c r="F10" s="11" t="n">
        <v>574</v>
      </c>
      <c r="G10" s="5" t="n">
        <v>18</v>
      </c>
      <c r="H10" s="4" t="inlineStr">
        <is>
          <t>PVC board 18 mm</t>
        </is>
      </c>
      <c r="I10" s="12">
        <f>D10*E10*F10/1000000</f>
        <v/>
      </c>
      <c r="J10" s="4" t="inlineStr"/>
      <c r="K10" s="4" t="inlineStr">
        <is>
          <t>A12</t>
        </is>
      </c>
    </row>
    <row r="11">
      <c r="A11" s="4" t="n">
        <v>7</v>
      </c>
      <c r="B11" s="4" t="inlineStr">
        <is>
          <t>Back_Appliance_Racks_900</t>
        </is>
      </c>
      <c r="C11" s="4" t="inlineStr">
        <is>
          <t>DrawerFront_1</t>
        </is>
      </c>
      <c r="D11" s="5" t="n">
        <v>1</v>
      </c>
      <c r="E11" s="11" t="n">
        <v>897</v>
      </c>
      <c r="F11" s="11" t="n">
        <v>307.4</v>
      </c>
      <c r="G11" s="5" t="n">
        <v>18</v>
      </c>
      <c r="H11" s="4" t="inlineStr">
        <is>
          <t>PVC board 18 mm</t>
        </is>
      </c>
      <c r="I11" s="12">
        <f>D11*E11*F11/1000000</f>
        <v/>
      </c>
      <c r="J11" s="4" t="inlineStr"/>
      <c r="K11" s="4" t="inlineStr">
        <is>
          <t>A9</t>
        </is>
      </c>
    </row>
    <row r="12">
      <c r="A12" s="4" t="n">
        <v>8</v>
      </c>
      <c r="B12" s="4" t="inlineStr">
        <is>
          <t>Back_Appliance_Racks_900</t>
        </is>
      </c>
      <c r="C12" s="4" t="inlineStr">
        <is>
          <t>DrawerFront_2</t>
        </is>
      </c>
      <c r="D12" s="5" t="n">
        <v>1</v>
      </c>
      <c r="E12" s="11" t="n">
        <v>897</v>
      </c>
      <c r="F12" s="11" t="n">
        <v>268.6</v>
      </c>
      <c r="G12" s="5" t="n">
        <v>18</v>
      </c>
      <c r="H12" s="4" t="inlineStr">
        <is>
          <t>PVC board 18 mm</t>
        </is>
      </c>
      <c r="I12" s="12">
        <f>D12*E12*F12/1000000</f>
        <v/>
      </c>
      <c r="J12" s="4" t="inlineStr"/>
      <c r="K12" s="4" t="inlineStr">
        <is>
          <t>A5</t>
        </is>
      </c>
    </row>
    <row r="13">
      <c r="A13" s="4" t="n">
        <v>9</v>
      </c>
      <c r="B13" s="4" t="inlineStr">
        <is>
          <t>Back_Appliance_Racks_900</t>
        </is>
      </c>
      <c r="C13" s="4" t="inlineStr">
        <is>
          <t>DrawerFront_3</t>
        </is>
      </c>
      <c r="D13" s="5" t="n">
        <v>1</v>
      </c>
      <c r="E13" s="11" t="n">
        <v>897</v>
      </c>
      <c r="F13" s="11" t="n">
        <v>191</v>
      </c>
      <c r="G13" s="5" t="n">
        <v>18</v>
      </c>
      <c r="H13" s="4" t="inlineStr">
        <is>
          <t>PVC board 18 mm</t>
        </is>
      </c>
      <c r="I13" s="12">
        <f>D13*E13*F13/1000000</f>
        <v/>
      </c>
      <c r="J13" s="4" t="inlineStr"/>
      <c r="K13" s="4" t="inlineStr">
        <is>
          <t>A6</t>
        </is>
      </c>
    </row>
    <row r="14">
      <c r="A14" s="4" t="n">
        <v>10</v>
      </c>
      <c r="B14" s="4" t="inlineStr">
        <is>
          <t>Back_Appliance_Racks_900</t>
        </is>
      </c>
      <c r="C14" s="4" t="inlineStr">
        <is>
          <t>Kick_Back</t>
        </is>
      </c>
      <c r="D14" s="5" t="n">
        <v>1</v>
      </c>
      <c r="E14" s="11" t="n">
        <v>803</v>
      </c>
      <c r="F14" s="11" t="n">
        <v>73</v>
      </c>
      <c r="G14" s="5" t="n">
        <v>18</v>
      </c>
      <c r="H14" s="4" t="inlineStr">
        <is>
          <t>PVC board 18 mm</t>
        </is>
      </c>
      <c r="I14" s="12">
        <f>D14*E14*F14/1000000</f>
        <v/>
      </c>
      <c r="J14" s="4" t="inlineStr"/>
      <c r="K14" s="4" t="inlineStr">
        <is>
          <t>A11</t>
        </is>
      </c>
    </row>
    <row r="15">
      <c r="A15" s="4" t="n">
        <v>11</v>
      </c>
      <c r="B15" s="4" t="inlineStr">
        <is>
          <t>Back_Appliance_Racks_900</t>
        </is>
      </c>
      <c r="C15" s="4" t="inlineStr">
        <is>
          <t>Kick_DrawerFront</t>
        </is>
      </c>
      <c r="D15" s="5" t="n">
        <v>1</v>
      </c>
      <c r="E15" s="11" t="n">
        <v>897</v>
      </c>
      <c r="F15" s="11" t="n">
        <v>87</v>
      </c>
      <c r="G15" s="5" t="n">
        <v>18</v>
      </c>
      <c r="H15" s="4" t="inlineStr">
        <is>
          <t>PVC board 18 mm</t>
        </is>
      </c>
      <c r="I15" s="12">
        <f>D15*E15*F15/1000000</f>
        <v/>
      </c>
      <c r="J15" s="4" t="inlineStr"/>
      <c r="K15" s="4" t="inlineStr">
        <is>
          <t>A10</t>
        </is>
      </c>
    </row>
    <row r="16">
      <c r="A16" s="4" t="n">
        <v>12</v>
      </c>
      <c r="B16" s="4" t="inlineStr">
        <is>
          <t>Back_Appliance_Racks_900</t>
        </is>
      </c>
      <c r="C16" s="4" t="inlineStr">
        <is>
          <t>Kick_Inner_Front</t>
        </is>
      </c>
      <c r="D16" s="5" t="n">
        <v>1</v>
      </c>
      <c r="E16" s="11" t="n">
        <v>803</v>
      </c>
      <c r="F16" s="11" t="n">
        <v>73</v>
      </c>
      <c r="G16" s="5" t="n">
        <v>18</v>
      </c>
      <c r="H16" s="4" t="inlineStr">
        <is>
          <t>PVC board 18 mm</t>
        </is>
      </c>
      <c r="I16" s="12">
        <f>D16*E16*F16/1000000</f>
        <v/>
      </c>
      <c r="J16" s="4" t="inlineStr"/>
      <c r="K16" s="4" t="inlineStr">
        <is>
          <t>A8</t>
        </is>
      </c>
    </row>
    <row r="17">
      <c r="A17" s="4" t="n">
        <v>13</v>
      </c>
      <c r="B17" s="4" t="inlineStr">
        <is>
          <t>Back_Appliance_Racks_900</t>
        </is>
      </c>
      <c r="C17" s="4" t="inlineStr">
        <is>
          <t>Kick_Side_A</t>
        </is>
      </c>
      <c r="D17" s="5" t="n">
        <v>1</v>
      </c>
      <c r="E17" s="11" t="n">
        <v>400</v>
      </c>
      <c r="F17" s="11" t="n">
        <v>73</v>
      </c>
      <c r="G17" s="5" t="n">
        <v>18</v>
      </c>
      <c r="H17" s="4" t="inlineStr">
        <is>
          <t>PVC board 18 mm</t>
        </is>
      </c>
      <c r="I17" s="12">
        <f>D17*E17*F17/1000000</f>
        <v/>
      </c>
      <c r="J17" s="4" t="inlineStr"/>
      <c r="K17" s="4" t="inlineStr">
        <is>
          <t>A1</t>
        </is>
      </c>
    </row>
    <row r="18">
      <c r="A18" s="4" t="n">
        <v>14</v>
      </c>
      <c r="B18" s="4" t="inlineStr">
        <is>
          <t>Back_Appliance_Racks_900</t>
        </is>
      </c>
      <c r="C18" s="4" t="inlineStr">
        <is>
          <t>Kick_Side_B</t>
        </is>
      </c>
      <c r="D18" s="5" t="n">
        <v>1</v>
      </c>
      <c r="E18" s="11" t="n">
        <v>400</v>
      </c>
      <c r="F18" s="11" t="n">
        <v>73</v>
      </c>
      <c r="G18" s="5" t="n">
        <v>18</v>
      </c>
      <c r="H18" s="4" t="inlineStr">
        <is>
          <t>PVC board 18 mm</t>
        </is>
      </c>
      <c r="I18" s="12">
        <f>D18*E18*F18/1000000</f>
        <v/>
      </c>
      <c r="J18" s="4" t="inlineStr"/>
      <c r="K18" s="4" t="inlineStr">
        <is>
          <t>A19</t>
        </is>
      </c>
    </row>
    <row r="19">
      <c r="A19" s="4" t="n">
        <v>15</v>
      </c>
      <c r="B19" s="4" t="inlineStr">
        <is>
          <t>Back_Appliance_Racks_900</t>
        </is>
      </c>
      <c r="C19" s="4" t="inlineStr">
        <is>
          <t>Plinth_Back</t>
        </is>
      </c>
      <c r="D19" s="5" t="n">
        <v>1</v>
      </c>
      <c r="E19" s="11" t="n">
        <v>900</v>
      </c>
      <c r="F19" s="11" t="n">
        <v>100</v>
      </c>
      <c r="G19" s="5" t="n">
        <v>18</v>
      </c>
      <c r="H19" s="4" t="inlineStr">
        <is>
          <t>PVC board 18 mm</t>
        </is>
      </c>
      <c r="I19" s="12">
        <f>D19*E19*F19/1000000</f>
        <v/>
      </c>
      <c r="J19" s="4" t="inlineStr"/>
      <c r="K19" s="4" t="inlineStr">
        <is>
          <t>A2</t>
        </is>
      </c>
    </row>
    <row r="20">
      <c r="A20" s="4" t="n">
        <v>16</v>
      </c>
      <c r="B20" s="4" t="inlineStr">
        <is>
          <t>Back_Appliance_Racks_900</t>
        </is>
      </c>
      <c r="C20" s="4" t="inlineStr">
        <is>
          <t>Plinth_Side_A</t>
        </is>
      </c>
      <c r="D20" s="5" t="n">
        <v>1</v>
      </c>
      <c r="E20" s="11" t="n">
        <v>454</v>
      </c>
      <c r="F20" s="11" t="n">
        <v>100</v>
      </c>
      <c r="G20" s="5" t="n">
        <v>18</v>
      </c>
      <c r="H20" s="4" t="inlineStr">
        <is>
          <t>PVC board 18 mm</t>
        </is>
      </c>
      <c r="I20" s="12">
        <f>D20*E20*F20/1000000</f>
        <v/>
      </c>
      <c r="J20" s="4" t="inlineStr"/>
      <c r="K20" s="4" t="inlineStr">
        <is>
          <t>A16</t>
        </is>
      </c>
    </row>
    <row r="21">
      <c r="A21" s="4" t="n">
        <v>17</v>
      </c>
      <c r="B21" s="4" t="inlineStr">
        <is>
          <t>Back_Appliance_Racks_900</t>
        </is>
      </c>
      <c r="C21" s="4" t="inlineStr">
        <is>
          <t>Plinth_Side_B</t>
        </is>
      </c>
      <c r="D21" s="5" t="n">
        <v>1</v>
      </c>
      <c r="E21" s="11" t="n">
        <v>454</v>
      </c>
      <c r="F21" s="11" t="n">
        <v>100</v>
      </c>
      <c r="G21" s="5" t="n">
        <v>18</v>
      </c>
      <c r="H21" s="4" t="inlineStr">
        <is>
          <t>PVC board 18 mm</t>
        </is>
      </c>
      <c r="I21" s="12">
        <f>D21*E21*F21/1000000</f>
        <v/>
      </c>
      <c r="J21" s="4" t="inlineStr"/>
      <c r="K21" s="4" t="inlineStr">
        <is>
          <t>A18</t>
        </is>
      </c>
    </row>
    <row r="22">
      <c r="A22" s="4" t="n">
        <v>18</v>
      </c>
      <c r="B22" s="4" t="inlineStr">
        <is>
          <t>Back_Appliance_Racks_900</t>
        </is>
      </c>
      <c r="C22" s="4" t="inlineStr">
        <is>
          <t>Side_A</t>
        </is>
      </c>
      <c r="D22" s="5" t="n">
        <v>1</v>
      </c>
      <c r="E22" s="11" t="n">
        <v>776</v>
      </c>
      <c r="F22" s="11" t="n">
        <v>574</v>
      </c>
      <c r="G22" s="5" t="n">
        <v>18</v>
      </c>
      <c r="H22" s="4" t="inlineStr">
        <is>
          <t>PVC board 18 mm</t>
        </is>
      </c>
      <c r="I22" s="12">
        <f>D22*E22*F22/1000000</f>
        <v/>
      </c>
      <c r="J22" s="4" t="inlineStr"/>
      <c r="K22" s="4" t="inlineStr">
        <is>
          <t>A14</t>
        </is>
      </c>
    </row>
    <row r="23">
      <c r="A23" s="4" t="n">
        <v>19</v>
      </c>
      <c r="B23" s="4" t="inlineStr">
        <is>
          <t>Back_Appliance_Racks_900</t>
        </is>
      </c>
      <c r="C23" s="4" t="inlineStr">
        <is>
          <t>Side_B</t>
        </is>
      </c>
      <c r="D23" s="5" t="n">
        <v>1</v>
      </c>
      <c r="E23" s="11" t="n">
        <v>776</v>
      </c>
      <c r="F23" s="11" t="n">
        <v>574</v>
      </c>
      <c r="G23" s="5" t="n">
        <v>18</v>
      </c>
      <c r="H23" s="4" t="inlineStr">
        <is>
          <t>PVC board 18 mm</t>
        </is>
      </c>
      <c r="I23" s="12">
        <f>D23*E23*F23/1000000</f>
        <v/>
      </c>
      <c r="J23" s="4" t="inlineStr"/>
      <c r="K23" s="4" t="inlineStr">
        <is>
          <t>A14</t>
        </is>
      </c>
    </row>
    <row r="24">
      <c r="A24" s="4" t="n">
        <v>20</v>
      </c>
      <c r="B24" s="4" t="inlineStr">
        <is>
          <t>Back_Appliance_Racks_900</t>
        </is>
      </c>
      <c r="C24" s="4" t="inlineStr">
        <is>
          <t>Stretcher_Back</t>
        </is>
      </c>
      <c r="D24" s="5" t="n">
        <v>1</v>
      </c>
      <c r="E24" s="11" t="n">
        <v>864</v>
      </c>
      <c r="F24" s="11" t="n">
        <v>100</v>
      </c>
      <c r="G24" s="5" t="n">
        <v>18</v>
      </c>
      <c r="H24" s="4" t="inlineStr">
        <is>
          <t>PVC board 18 mm</t>
        </is>
      </c>
      <c r="I24" s="12">
        <f>D24*E24*F24/1000000</f>
        <v/>
      </c>
      <c r="J24" s="4" t="inlineStr"/>
      <c r="K24" s="4" t="inlineStr">
        <is>
          <t>A13</t>
        </is>
      </c>
    </row>
    <row r="25">
      <c r="A25" s="4" t="n">
        <v>21</v>
      </c>
      <c r="B25" s="4" t="inlineStr">
        <is>
          <t>Back_Appliance_Racks_900</t>
        </is>
      </c>
      <c r="C25" s="4" t="inlineStr">
        <is>
          <t>Stretcher_Front</t>
        </is>
      </c>
      <c r="D25" s="5" t="n">
        <v>1</v>
      </c>
      <c r="E25" s="11" t="n">
        <v>864</v>
      </c>
      <c r="F25" s="11" t="n">
        <v>100</v>
      </c>
      <c r="G25" s="5" t="n">
        <v>18</v>
      </c>
      <c r="H25" s="4" t="inlineStr">
        <is>
          <t>PVC board 18 mm</t>
        </is>
      </c>
      <c r="I25" s="12">
        <f>D25*E25*F25/1000000</f>
        <v/>
      </c>
      <c r="J25" s="4" t="inlineStr"/>
      <c r="K25" s="4" t="inlineStr">
        <is>
          <t>A13</t>
        </is>
      </c>
    </row>
    <row r="26">
      <c r="A26" s="4" t="n">
        <v>22</v>
      </c>
      <c r="B26" s="4" t="inlineStr">
        <is>
          <t>Back_Base</t>
        </is>
      </c>
      <c r="C26" s="4" t="inlineStr">
        <is>
          <t>End_Panel_Back_Base</t>
        </is>
      </c>
      <c r="D26" s="5" t="n">
        <v>1</v>
      </c>
      <c r="E26" s="11" t="n">
        <v>876</v>
      </c>
      <c r="F26" s="11" t="n">
        <v>610</v>
      </c>
      <c r="G26" s="5" t="n">
        <v>18</v>
      </c>
      <c r="H26" s="4" t="inlineStr">
        <is>
          <t>PVC board 18 mm</t>
        </is>
      </c>
      <c r="I26" s="12">
        <f>D26*E26*F26/1000000</f>
        <v/>
      </c>
      <c r="J26" s="4" t="inlineStr"/>
      <c r="K26" s="4" t="inlineStr">
        <is>
          <t>A12</t>
        </is>
      </c>
    </row>
    <row r="27">
      <c r="A27" s="4" t="n">
        <v>23</v>
      </c>
      <c r="B27" s="4" t="inlineStr">
        <is>
          <t>Back_Prep_Racks_600</t>
        </is>
      </c>
      <c r="C27" s="4" t="inlineStr">
        <is>
          <t>Back</t>
        </is>
      </c>
      <c r="D27" s="5" t="n">
        <v>1</v>
      </c>
      <c r="E27" s="11" t="n">
        <v>776</v>
      </c>
      <c r="F27" s="11" t="n">
        <v>600</v>
      </c>
      <c r="G27" s="5" t="n">
        <v>18</v>
      </c>
      <c r="H27" s="4" t="inlineStr">
        <is>
          <t>PVC board 18 mm</t>
        </is>
      </c>
      <c r="I27" s="12">
        <f>D27*E27*F27/1000000</f>
        <v/>
      </c>
      <c r="J27" s="4" t="inlineStr"/>
      <c r="K27" s="4" t="inlineStr">
        <is>
          <t>A13</t>
        </is>
      </c>
    </row>
    <row r="28">
      <c r="A28" s="4" t="n">
        <v>24</v>
      </c>
      <c r="B28" s="4" t="inlineStr">
        <is>
          <t>Back_Prep_Racks_600</t>
        </is>
      </c>
      <c r="C28" s="4" t="inlineStr">
        <is>
          <t>Bottom</t>
        </is>
      </c>
      <c r="D28" s="5" t="n">
        <v>1</v>
      </c>
      <c r="E28" s="11" t="n">
        <v>574</v>
      </c>
      <c r="F28" s="11" t="n">
        <v>564</v>
      </c>
      <c r="G28" s="5" t="n">
        <v>18</v>
      </c>
      <c r="H28" s="4" t="inlineStr">
        <is>
          <t>PVC board 18 mm</t>
        </is>
      </c>
      <c r="I28" s="12">
        <f>D28*E28*F28/1000000</f>
        <v/>
      </c>
      <c r="J28" s="4" t="inlineStr"/>
      <c r="K28" s="4" t="inlineStr">
        <is>
          <t>A8</t>
        </is>
      </c>
    </row>
    <row r="29">
      <c r="A29" s="4" t="n">
        <v>25</v>
      </c>
      <c r="B29" s="4" t="inlineStr">
        <is>
          <t>Back_Prep_Racks_600</t>
        </is>
      </c>
      <c r="C29" s="4" t="inlineStr">
        <is>
          <t>DrawerFront_1</t>
        </is>
      </c>
      <c r="D29" s="5" t="n">
        <v>1</v>
      </c>
      <c r="E29" s="11" t="n">
        <v>597</v>
      </c>
      <c r="F29" s="11" t="n">
        <v>307.4</v>
      </c>
      <c r="G29" s="5" t="n">
        <v>18</v>
      </c>
      <c r="H29" s="4" t="inlineStr">
        <is>
          <t>PVC board 18 mm</t>
        </is>
      </c>
      <c r="I29" s="12">
        <f>D29*E29*F29/1000000</f>
        <v/>
      </c>
      <c r="J29" s="4" t="inlineStr"/>
      <c r="K29" s="4" t="inlineStr">
        <is>
          <t>A10</t>
        </is>
      </c>
    </row>
    <row r="30">
      <c r="A30" s="4" t="n">
        <v>26</v>
      </c>
      <c r="B30" s="4" t="inlineStr">
        <is>
          <t>Back_Prep_Racks_600</t>
        </is>
      </c>
      <c r="C30" s="4" t="inlineStr">
        <is>
          <t>DrawerFront_2</t>
        </is>
      </c>
      <c r="D30" s="5" t="n">
        <v>1</v>
      </c>
      <c r="E30" s="11" t="n">
        <v>597</v>
      </c>
      <c r="F30" s="11" t="n">
        <v>268.6</v>
      </c>
      <c r="G30" s="5" t="n">
        <v>18</v>
      </c>
      <c r="H30" s="4" t="inlineStr">
        <is>
          <t>PVC board 18 mm</t>
        </is>
      </c>
      <c r="I30" s="12">
        <f>D30*E30*F30/1000000</f>
        <v/>
      </c>
      <c r="J30" s="4" t="inlineStr"/>
      <c r="K30" s="4" t="inlineStr">
        <is>
          <t>A17</t>
        </is>
      </c>
    </row>
    <row r="31">
      <c r="A31" s="4" t="n">
        <v>27</v>
      </c>
      <c r="B31" s="4" t="inlineStr">
        <is>
          <t>Back_Prep_Racks_600</t>
        </is>
      </c>
      <c r="C31" s="4" t="inlineStr">
        <is>
          <t>DrawerFront_3</t>
        </is>
      </c>
      <c r="D31" s="5" t="n">
        <v>1</v>
      </c>
      <c r="E31" s="11" t="n">
        <v>597</v>
      </c>
      <c r="F31" s="11" t="n">
        <v>191</v>
      </c>
      <c r="G31" s="5" t="n">
        <v>18</v>
      </c>
      <c r="H31" s="4" t="inlineStr">
        <is>
          <t>PVC board 18 mm</t>
        </is>
      </c>
      <c r="I31" s="12">
        <f>D31*E31*F31/1000000</f>
        <v/>
      </c>
      <c r="J31" s="4" t="inlineStr"/>
      <c r="K31" s="4" t="inlineStr">
        <is>
          <t>A3</t>
        </is>
      </c>
    </row>
    <row r="32">
      <c r="A32" s="4" t="n">
        <v>28</v>
      </c>
      <c r="B32" s="4" t="inlineStr">
        <is>
          <t>Back_Prep_Racks_600</t>
        </is>
      </c>
      <c r="C32" s="4" t="inlineStr">
        <is>
          <t>Kick_Back</t>
        </is>
      </c>
      <c r="D32" s="5" t="n">
        <v>1</v>
      </c>
      <c r="E32" s="11" t="n">
        <v>503</v>
      </c>
      <c r="F32" s="11" t="n">
        <v>73</v>
      </c>
      <c r="G32" s="5" t="n">
        <v>18</v>
      </c>
      <c r="H32" s="4" t="inlineStr">
        <is>
          <t>PVC board 18 mm</t>
        </is>
      </c>
      <c r="I32" s="12">
        <f>D32*E32*F32/1000000</f>
        <v/>
      </c>
      <c r="J32" s="4" t="inlineStr"/>
      <c r="K32" s="4" t="inlineStr">
        <is>
          <t>A10</t>
        </is>
      </c>
    </row>
    <row r="33">
      <c r="A33" s="4" t="n">
        <v>29</v>
      </c>
      <c r="B33" s="4" t="inlineStr">
        <is>
          <t>Back_Prep_Racks_600</t>
        </is>
      </c>
      <c r="C33" s="4" t="inlineStr">
        <is>
          <t>Kick_DrawerFront</t>
        </is>
      </c>
      <c r="D33" s="5" t="n">
        <v>1</v>
      </c>
      <c r="E33" s="11" t="n">
        <v>597</v>
      </c>
      <c r="F33" s="11" t="n">
        <v>87</v>
      </c>
      <c r="G33" s="5" t="n">
        <v>18</v>
      </c>
      <c r="H33" s="4" t="inlineStr">
        <is>
          <t>PVC board 18 mm</t>
        </is>
      </c>
      <c r="I33" s="12">
        <f>D33*E33*F33/1000000</f>
        <v/>
      </c>
      <c r="J33" s="4" t="inlineStr"/>
      <c r="K33" s="4" t="inlineStr">
        <is>
          <t>A14</t>
        </is>
      </c>
    </row>
    <row r="34">
      <c r="A34" s="4" t="n">
        <v>30</v>
      </c>
      <c r="B34" s="4" t="inlineStr">
        <is>
          <t>Back_Prep_Racks_600</t>
        </is>
      </c>
      <c r="C34" s="4" t="inlineStr">
        <is>
          <t>Kick_Inner_Front</t>
        </is>
      </c>
      <c r="D34" s="5" t="n">
        <v>1</v>
      </c>
      <c r="E34" s="11" t="n">
        <v>503</v>
      </c>
      <c r="F34" s="11" t="n">
        <v>73</v>
      </c>
      <c r="G34" s="5" t="n">
        <v>18</v>
      </c>
      <c r="H34" s="4" t="inlineStr">
        <is>
          <t>PVC board 18 mm</t>
        </is>
      </c>
      <c r="I34" s="12">
        <f>D34*E34*F34/1000000</f>
        <v/>
      </c>
      <c r="J34" s="4" t="inlineStr"/>
      <c r="K34" s="4" t="inlineStr">
        <is>
          <t>A14</t>
        </is>
      </c>
    </row>
    <row r="35">
      <c r="A35" s="4" t="n">
        <v>31</v>
      </c>
      <c r="B35" s="4" t="inlineStr">
        <is>
          <t>Back_Prep_Racks_600</t>
        </is>
      </c>
      <c r="C35" s="4" t="inlineStr">
        <is>
          <t>Kick_Side_A</t>
        </is>
      </c>
      <c r="D35" s="5" t="n">
        <v>1</v>
      </c>
      <c r="E35" s="11" t="n">
        <v>400</v>
      </c>
      <c r="F35" s="11" t="n">
        <v>73</v>
      </c>
      <c r="G35" s="5" t="n">
        <v>18</v>
      </c>
      <c r="H35" s="4" t="inlineStr">
        <is>
          <t>PVC board 18 mm</t>
        </is>
      </c>
      <c r="I35" s="12">
        <f>D35*E35*F35/1000000</f>
        <v/>
      </c>
      <c r="J35" s="4" t="inlineStr"/>
      <c r="K35" s="4" t="inlineStr">
        <is>
          <t>A12</t>
        </is>
      </c>
    </row>
    <row r="36">
      <c r="A36" s="4" t="n">
        <v>32</v>
      </c>
      <c r="B36" s="4" t="inlineStr">
        <is>
          <t>Back_Prep_Racks_600</t>
        </is>
      </c>
      <c r="C36" s="4" t="inlineStr">
        <is>
          <t>Kick_Side_B</t>
        </is>
      </c>
      <c r="D36" s="5" t="n">
        <v>1</v>
      </c>
      <c r="E36" s="11" t="n">
        <v>400</v>
      </c>
      <c r="F36" s="11" t="n">
        <v>73</v>
      </c>
      <c r="G36" s="5" t="n">
        <v>18</v>
      </c>
      <c r="H36" s="4" t="inlineStr">
        <is>
          <t>PVC board 18 mm</t>
        </is>
      </c>
      <c r="I36" s="12">
        <f>D36*E36*F36/1000000</f>
        <v/>
      </c>
      <c r="J36" s="4" t="inlineStr"/>
      <c r="K36" s="4" t="inlineStr">
        <is>
          <t>A4</t>
        </is>
      </c>
    </row>
    <row r="37">
      <c r="A37" s="4" t="n">
        <v>33</v>
      </c>
      <c r="B37" s="4" t="inlineStr">
        <is>
          <t>Back_Prep_Racks_600</t>
        </is>
      </c>
      <c r="C37" s="4" t="inlineStr">
        <is>
          <t>Plinth_Back</t>
        </is>
      </c>
      <c r="D37" s="5" t="n">
        <v>1</v>
      </c>
      <c r="E37" s="11" t="n">
        <v>600</v>
      </c>
      <c r="F37" s="11" t="n">
        <v>100</v>
      </c>
      <c r="G37" s="5" t="n">
        <v>18</v>
      </c>
      <c r="H37" s="4" t="inlineStr">
        <is>
          <t>PVC board 18 mm</t>
        </is>
      </c>
      <c r="I37" s="12">
        <f>D37*E37*F37/1000000</f>
        <v/>
      </c>
      <c r="J37" s="4" t="inlineStr"/>
      <c r="K37" s="4" t="inlineStr">
        <is>
          <t>A4</t>
        </is>
      </c>
    </row>
    <row r="38">
      <c r="A38" s="4" t="n">
        <v>34</v>
      </c>
      <c r="B38" s="4" t="inlineStr">
        <is>
          <t>Back_Prep_Racks_600</t>
        </is>
      </c>
      <c r="C38" s="4" t="inlineStr">
        <is>
          <t>Plinth_Side_A</t>
        </is>
      </c>
      <c r="D38" s="5" t="n">
        <v>1</v>
      </c>
      <c r="E38" s="11" t="n">
        <v>454</v>
      </c>
      <c r="F38" s="11" t="n">
        <v>100</v>
      </c>
      <c r="G38" s="5" t="n">
        <v>18</v>
      </c>
      <c r="H38" s="4" t="inlineStr">
        <is>
          <t>PVC board 18 mm</t>
        </is>
      </c>
      <c r="I38" s="12">
        <f>D38*E38*F38/1000000</f>
        <v/>
      </c>
      <c r="J38" s="4" t="inlineStr"/>
      <c r="K38" s="4" t="inlineStr">
        <is>
          <t>A3</t>
        </is>
      </c>
    </row>
    <row r="39">
      <c r="A39" s="4" t="n">
        <v>35</v>
      </c>
      <c r="B39" s="4" t="inlineStr">
        <is>
          <t>Back_Prep_Racks_600</t>
        </is>
      </c>
      <c r="C39" s="4" t="inlineStr">
        <is>
          <t>Plinth_Side_B</t>
        </is>
      </c>
      <c r="D39" s="5" t="n">
        <v>1</v>
      </c>
      <c r="E39" s="11" t="n">
        <v>454</v>
      </c>
      <c r="F39" s="11" t="n">
        <v>100</v>
      </c>
      <c r="G39" s="5" t="n">
        <v>18</v>
      </c>
      <c r="H39" s="4" t="inlineStr">
        <is>
          <t>PVC board 18 mm</t>
        </is>
      </c>
      <c r="I39" s="12">
        <f>D39*E39*F39/1000000</f>
        <v/>
      </c>
      <c r="J39" s="4" t="inlineStr"/>
      <c r="K39" s="4" t="inlineStr">
        <is>
          <t>A9</t>
        </is>
      </c>
    </row>
    <row r="40">
      <c r="A40" s="4" t="n">
        <v>36</v>
      </c>
      <c r="B40" s="4" t="inlineStr">
        <is>
          <t>Back_Prep_Racks_600</t>
        </is>
      </c>
      <c r="C40" s="4" t="inlineStr">
        <is>
          <t>Side_A</t>
        </is>
      </c>
      <c r="D40" s="5" t="n">
        <v>1</v>
      </c>
      <c r="E40" s="11" t="n">
        <v>776</v>
      </c>
      <c r="F40" s="11" t="n">
        <v>574</v>
      </c>
      <c r="G40" s="5" t="n">
        <v>18</v>
      </c>
      <c r="H40" s="4" t="inlineStr">
        <is>
          <t>PVC board 18 mm</t>
        </is>
      </c>
      <c r="I40" s="12">
        <f>D40*E40*F40/1000000</f>
        <v/>
      </c>
      <c r="J40" s="4" t="inlineStr"/>
      <c r="K40" s="4" t="inlineStr">
        <is>
          <t>A14</t>
        </is>
      </c>
    </row>
    <row r="41">
      <c r="A41" s="4" t="n">
        <v>37</v>
      </c>
      <c r="B41" s="4" t="inlineStr">
        <is>
          <t>Back_Prep_Racks_600</t>
        </is>
      </c>
      <c r="C41" s="4" t="inlineStr">
        <is>
          <t>Side_B</t>
        </is>
      </c>
      <c r="D41" s="5" t="n">
        <v>1</v>
      </c>
      <c r="E41" s="11" t="n">
        <v>776</v>
      </c>
      <c r="F41" s="11" t="n">
        <v>574</v>
      </c>
      <c r="G41" s="5" t="n">
        <v>18</v>
      </c>
      <c r="H41" s="4" t="inlineStr">
        <is>
          <t>PVC board 18 mm</t>
        </is>
      </c>
      <c r="I41" s="12">
        <f>D41*E41*F41/1000000</f>
        <v/>
      </c>
      <c r="J41" s="4" t="inlineStr"/>
      <c r="K41" s="4" t="inlineStr">
        <is>
          <t>A14</t>
        </is>
      </c>
    </row>
    <row r="42">
      <c r="A42" s="4" t="n">
        <v>38</v>
      </c>
      <c r="B42" s="4" t="inlineStr">
        <is>
          <t>Back_Prep_Racks_600</t>
        </is>
      </c>
      <c r="C42" s="4" t="inlineStr">
        <is>
          <t>Stretcher_Back</t>
        </is>
      </c>
      <c r="D42" s="5" t="n">
        <v>1</v>
      </c>
      <c r="E42" s="11" t="n">
        <v>564</v>
      </c>
      <c r="F42" s="11" t="n">
        <v>100</v>
      </c>
      <c r="G42" s="5" t="n">
        <v>18</v>
      </c>
      <c r="H42" s="4" t="inlineStr">
        <is>
          <t>PVC board 18 mm</t>
        </is>
      </c>
      <c r="I42" s="12">
        <f>D42*E42*F42/1000000</f>
        <v/>
      </c>
      <c r="J42" s="4" t="inlineStr"/>
      <c r="K42" s="4" t="inlineStr">
        <is>
          <t>A18</t>
        </is>
      </c>
    </row>
    <row r="43">
      <c r="A43" s="4" t="n">
        <v>39</v>
      </c>
      <c r="B43" s="4" t="inlineStr">
        <is>
          <t>Back_Prep_Racks_600</t>
        </is>
      </c>
      <c r="C43" s="4" t="inlineStr">
        <is>
          <t>Stretcher_Front</t>
        </is>
      </c>
      <c r="D43" s="5" t="n">
        <v>1</v>
      </c>
      <c r="E43" s="11" t="n">
        <v>564</v>
      </c>
      <c r="F43" s="11" t="n">
        <v>100</v>
      </c>
      <c r="G43" s="5" t="n">
        <v>18</v>
      </c>
      <c r="H43" s="4" t="inlineStr">
        <is>
          <t>PVC board 18 mm</t>
        </is>
      </c>
      <c r="I43" s="12">
        <f>D43*E43*F43/1000000</f>
        <v/>
      </c>
      <c r="J43" s="4" t="inlineStr"/>
      <c r="K43" s="4" t="inlineStr">
        <is>
          <t>A18</t>
        </is>
      </c>
    </row>
    <row r="44">
      <c r="A44" s="4" t="n">
        <v>40</v>
      </c>
      <c r="B44" s="4" t="inlineStr">
        <is>
          <t>Back_Wall_Cabinets</t>
        </is>
      </c>
      <c r="C44" s="4" t="inlineStr">
        <is>
          <t>End_Panel_Back_Upper</t>
        </is>
      </c>
      <c r="D44" s="5" t="n">
        <v>1</v>
      </c>
      <c r="E44" s="11" t="n">
        <v>914</v>
      </c>
      <c r="F44" s="11" t="n">
        <v>330</v>
      </c>
      <c r="G44" s="5" t="n">
        <v>18</v>
      </c>
      <c r="H44" s="4" t="inlineStr">
        <is>
          <t>PVC board 18 mm</t>
        </is>
      </c>
      <c r="I44" s="12">
        <f>D44*E44*F44/1000000</f>
        <v/>
      </c>
      <c r="J44" s="4" t="inlineStr"/>
      <c r="K44" s="4" t="inlineStr">
        <is>
          <t>A6</t>
        </is>
      </c>
    </row>
    <row r="45">
      <c r="A45" s="4" t="n">
        <v>41</v>
      </c>
      <c r="B45" s="4" t="inlineStr">
        <is>
          <t>Base_Racks_400</t>
        </is>
      </c>
      <c r="C45" s="4" t="inlineStr">
        <is>
          <t>Back</t>
        </is>
      </c>
      <c r="D45" s="5" t="n">
        <v>1</v>
      </c>
      <c r="E45" s="11" t="n">
        <v>776</v>
      </c>
      <c r="F45" s="11" t="n">
        <v>400</v>
      </c>
      <c r="G45" s="5" t="n">
        <v>18</v>
      </c>
      <c r="H45" s="4" t="inlineStr">
        <is>
          <t>PVC board 18 mm</t>
        </is>
      </c>
      <c r="I45" s="12">
        <f>D45*E45*F45/1000000</f>
        <v/>
      </c>
      <c r="J45" s="4" t="inlineStr"/>
      <c r="K45" s="4" t="inlineStr">
        <is>
          <t>A16</t>
        </is>
      </c>
    </row>
    <row r="46">
      <c r="A46" s="4" t="n">
        <v>42</v>
      </c>
      <c r="B46" s="4" t="inlineStr">
        <is>
          <t>Base_Racks_400</t>
        </is>
      </c>
      <c r="C46" s="4" t="inlineStr">
        <is>
          <t>Bottom</t>
        </is>
      </c>
      <c r="D46" s="5" t="n">
        <v>1</v>
      </c>
      <c r="E46" s="11" t="n">
        <v>574</v>
      </c>
      <c r="F46" s="11" t="n">
        <v>364</v>
      </c>
      <c r="G46" s="5" t="n">
        <v>18</v>
      </c>
      <c r="H46" s="4" t="inlineStr">
        <is>
          <t>PVC board 18 mm</t>
        </is>
      </c>
      <c r="I46" s="12">
        <f>D46*E46*F46/1000000</f>
        <v/>
      </c>
      <c r="J46" s="4" t="inlineStr"/>
      <c r="K46" s="4" t="inlineStr">
        <is>
          <t>A8</t>
        </is>
      </c>
    </row>
    <row r="47">
      <c r="A47" s="4" t="n">
        <v>43</v>
      </c>
      <c r="B47" s="4" t="inlineStr">
        <is>
          <t>Base_Racks_400</t>
        </is>
      </c>
      <c r="C47" s="4" t="inlineStr">
        <is>
          <t>DrawerFront_1</t>
        </is>
      </c>
      <c r="D47" s="5" t="n">
        <v>1</v>
      </c>
      <c r="E47" s="11" t="n">
        <v>397</v>
      </c>
      <c r="F47" s="11" t="n">
        <v>307.4</v>
      </c>
      <c r="G47" s="5" t="n">
        <v>18</v>
      </c>
      <c r="H47" s="4" t="inlineStr">
        <is>
          <t>PVC board 18 mm</t>
        </is>
      </c>
      <c r="I47" s="12">
        <f>D47*E47*F47/1000000</f>
        <v/>
      </c>
      <c r="J47" s="4" t="inlineStr"/>
      <c r="K47" s="4" t="inlineStr">
        <is>
          <t>A20</t>
        </is>
      </c>
    </row>
    <row r="48">
      <c r="A48" s="4" t="n">
        <v>44</v>
      </c>
      <c r="B48" s="4" t="inlineStr">
        <is>
          <t>Base_Racks_400</t>
        </is>
      </c>
      <c r="C48" s="4" t="inlineStr">
        <is>
          <t>DrawerFront_2</t>
        </is>
      </c>
      <c r="D48" s="5" t="n">
        <v>1</v>
      </c>
      <c r="E48" s="11" t="n">
        <v>397</v>
      </c>
      <c r="F48" s="11" t="n">
        <v>268.6</v>
      </c>
      <c r="G48" s="5" t="n">
        <v>18</v>
      </c>
      <c r="H48" s="4" t="inlineStr">
        <is>
          <t>PVC board 18 mm</t>
        </is>
      </c>
      <c r="I48" s="12">
        <f>D48*E48*F48/1000000</f>
        <v/>
      </c>
      <c r="J48" s="4" t="inlineStr"/>
      <c r="K48" s="4" t="inlineStr">
        <is>
          <t>A20</t>
        </is>
      </c>
    </row>
    <row r="49">
      <c r="A49" s="4" t="n">
        <v>45</v>
      </c>
      <c r="B49" s="4" t="inlineStr">
        <is>
          <t>Base_Racks_400</t>
        </is>
      </c>
      <c r="C49" s="4" t="inlineStr">
        <is>
          <t>DrawerFront_3</t>
        </is>
      </c>
      <c r="D49" s="5" t="n">
        <v>1</v>
      </c>
      <c r="E49" s="11" t="n">
        <v>397</v>
      </c>
      <c r="F49" s="11" t="n">
        <v>191</v>
      </c>
      <c r="G49" s="5" t="n">
        <v>18</v>
      </c>
      <c r="H49" s="4" t="inlineStr">
        <is>
          <t>PVC board 18 mm</t>
        </is>
      </c>
      <c r="I49" s="12">
        <f>D49*E49*F49/1000000</f>
        <v/>
      </c>
      <c r="J49" s="4" t="inlineStr"/>
      <c r="K49" s="4" t="inlineStr">
        <is>
          <t>A20</t>
        </is>
      </c>
    </row>
    <row r="50">
      <c r="A50" s="4" t="n">
        <v>46</v>
      </c>
      <c r="B50" s="4" t="inlineStr">
        <is>
          <t>Base_Racks_400</t>
        </is>
      </c>
      <c r="C50" s="4" t="inlineStr">
        <is>
          <t>Kick_Back</t>
        </is>
      </c>
      <c r="D50" s="5" t="n">
        <v>1</v>
      </c>
      <c r="E50" s="11" t="n">
        <v>303</v>
      </c>
      <c r="F50" s="11" t="n">
        <v>73</v>
      </c>
      <c r="G50" s="5" t="n">
        <v>18</v>
      </c>
      <c r="H50" s="4" t="inlineStr">
        <is>
          <t>PVC board 18 mm</t>
        </is>
      </c>
      <c r="I50" s="12">
        <f>D50*E50*F50/1000000</f>
        <v/>
      </c>
      <c r="J50" s="4" t="inlineStr"/>
      <c r="K50" s="4" t="inlineStr">
        <is>
          <t>A16</t>
        </is>
      </c>
    </row>
    <row r="51">
      <c r="A51" s="4" t="n">
        <v>47</v>
      </c>
      <c r="B51" s="4" t="inlineStr">
        <is>
          <t>Base_Racks_400</t>
        </is>
      </c>
      <c r="C51" s="4" t="inlineStr">
        <is>
          <t>Kick_DrawerFront</t>
        </is>
      </c>
      <c r="D51" s="5" t="n">
        <v>1</v>
      </c>
      <c r="E51" s="11" t="n">
        <v>397</v>
      </c>
      <c r="F51" s="11" t="n">
        <v>87</v>
      </c>
      <c r="G51" s="5" t="n">
        <v>18</v>
      </c>
      <c r="H51" s="4" t="inlineStr">
        <is>
          <t>PVC board 18 mm</t>
        </is>
      </c>
      <c r="I51" s="12">
        <f>D51*E51*F51/1000000</f>
        <v/>
      </c>
      <c r="J51" s="4" t="inlineStr"/>
      <c r="K51" s="4" t="inlineStr">
        <is>
          <t>A20</t>
        </is>
      </c>
    </row>
    <row r="52">
      <c r="A52" s="4" t="n">
        <v>48</v>
      </c>
      <c r="B52" s="4" t="inlineStr">
        <is>
          <t>Base_Racks_400</t>
        </is>
      </c>
      <c r="C52" s="4" t="inlineStr">
        <is>
          <t>Kick_Inner_Front</t>
        </is>
      </c>
      <c r="D52" s="5" t="n">
        <v>1</v>
      </c>
      <c r="E52" s="11" t="n">
        <v>303</v>
      </c>
      <c r="F52" s="11" t="n">
        <v>73</v>
      </c>
      <c r="G52" s="5" t="n">
        <v>18</v>
      </c>
      <c r="H52" s="4" t="inlineStr">
        <is>
          <t>PVC board 18 mm</t>
        </is>
      </c>
      <c r="I52" s="12">
        <f>D52*E52*F52/1000000</f>
        <v/>
      </c>
      <c r="J52" s="4" t="inlineStr"/>
      <c r="K52" s="4" t="inlineStr">
        <is>
          <t>A16</t>
        </is>
      </c>
    </row>
    <row r="53">
      <c r="A53" s="4" t="n">
        <v>49</v>
      </c>
      <c r="B53" s="4" t="inlineStr">
        <is>
          <t>Base_Racks_400</t>
        </is>
      </c>
      <c r="C53" s="4" t="inlineStr">
        <is>
          <t>Kick_Side_A</t>
        </is>
      </c>
      <c r="D53" s="5" t="n">
        <v>1</v>
      </c>
      <c r="E53" s="11" t="n">
        <v>400</v>
      </c>
      <c r="F53" s="11" t="n">
        <v>73</v>
      </c>
      <c r="G53" s="5" t="n">
        <v>18</v>
      </c>
      <c r="H53" s="4" t="inlineStr">
        <is>
          <t>PVC board 18 mm</t>
        </is>
      </c>
      <c r="I53" s="12">
        <f>D53*E53*F53/1000000</f>
        <v/>
      </c>
      <c r="J53" s="4" t="inlineStr"/>
      <c r="K53" s="4" t="inlineStr">
        <is>
          <t>A1</t>
        </is>
      </c>
    </row>
    <row r="54">
      <c r="A54" s="4" t="n">
        <v>50</v>
      </c>
      <c r="B54" s="4" t="inlineStr">
        <is>
          <t>Base_Racks_400</t>
        </is>
      </c>
      <c r="C54" s="4" t="inlineStr">
        <is>
          <t>Kick_Side_B</t>
        </is>
      </c>
      <c r="D54" s="5" t="n">
        <v>1</v>
      </c>
      <c r="E54" s="11" t="n">
        <v>400</v>
      </c>
      <c r="F54" s="11" t="n">
        <v>73</v>
      </c>
      <c r="G54" s="5" t="n">
        <v>18</v>
      </c>
      <c r="H54" s="4" t="inlineStr">
        <is>
          <t>PVC board 18 mm</t>
        </is>
      </c>
      <c r="I54" s="12">
        <f>D54*E54*F54/1000000</f>
        <v/>
      </c>
      <c r="J54" s="4" t="inlineStr"/>
      <c r="K54" s="4" t="inlineStr">
        <is>
          <t>A1</t>
        </is>
      </c>
    </row>
    <row r="55">
      <c r="A55" s="4" t="n">
        <v>51</v>
      </c>
      <c r="B55" s="4" t="inlineStr">
        <is>
          <t>Base_Racks_400</t>
        </is>
      </c>
      <c r="C55" s="4" t="inlineStr">
        <is>
          <t>Plinth_Back</t>
        </is>
      </c>
      <c r="D55" s="5" t="n">
        <v>1</v>
      </c>
      <c r="E55" s="11" t="n">
        <v>400</v>
      </c>
      <c r="F55" s="11" t="n">
        <v>100</v>
      </c>
      <c r="G55" s="5" t="n">
        <v>18</v>
      </c>
      <c r="H55" s="4" t="inlineStr">
        <is>
          <t>PVC board 18 mm</t>
        </is>
      </c>
      <c r="I55" s="12">
        <f>D55*E55*F55/1000000</f>
        <v/>
      </c>
      <c r="J55" s="4" t="inlineStr"/>
      <c r="K55" s="4" t="inlineStr">
        <is>
          <t>A1</t>
        </is>
      </c>
    </row>
    <row r="56">
      <c r="A56" s="4" t="n">
        <v>52</v>
      </c>
      <c r="B56" s="4" t="inlineStr">
        <is>
          <t>Base_Racks_400</t>
        </is>
      </c>
      <c r="C56" s="4" t="inlineStr">
        <is>
          <t>Plinth_Side_A</t>
        </is>
      </c>
      <c r="D56" s="5" t="n">
        <v>1</v>
      </c>
      <c r="E56" s="11" t="n">
        <v>454</v>
      </c>
      <c r="F56" s="11" t="n">
        <v>100</v>
      </c>
      <c r="G56" s="5" t="n">
        <v>18</v>
      </c>
      <c r="H56" s="4" t="inlineStr">
        <is>
          <t>PVC board 18 mm</t>
        </is>
      </c>
      <c r="I56" s="12">
        <f>D56*E56*F56/1000000</f>
        <v/>
      </c>
      <c r="J56" s="4" t="inlineStr"/>
      <c r="K56" s="4" t="inlineStr">
        <is>
          <t>A17</t>
        </is>
      </c>
    </row>
    <row r="57">
      <c r="A57" s="4" t="n">
        <v>53</v>
      </c>
      <c r="B57" s="4" t="inlineStr">
        <is>
          <t>Base_Racks_400</t>
        </is>
      </c>
      <c r="C57" s="4" t="inlineStr">
        <is>
          <t>Plinth_Side_B</t>
        </is>
      </c>
      <c r="D57" s="5" t="n">
        <v>1</v>
      </c>
      <c r="E57" s="11" t="n">
        <v>454</v>
      </c>
      <c r="F57" s="11" t="n">
        <v>100</v>
      </c>
      <c r="G57" s="5" t="n">
        <v>18</v>
      </c>
      <c r="H57" s="4" t="inlineStr">
        <is>
          <t>PVC board 18 mm</t>
        </is>
      </c>
      <c r="I57" s="12">
        <f>D57*E57*F57/1000000</f>
        <v/>
      </c>
      <c r="J57" s="4" t="inlineStr"/>
      <c r="K57" s="4" t="inlineStr">
        <is>
          <t>A18</t>
        </is>
      </c>
    </row>
    <row r="58">
      <c r="A58" s="4" t="n">
        <v>54</v>
      </c>
      <c r="B58" s="4" t="inlineStr">
        <is>
          <t>Base_Racks_400</t>
        </is>
      </c>
      <c r="C58" s="4" t="inlineStr">
        <is>
          <t>Side_A</t>
        </is>
      </c>
      <c r="D58" s="5" t="n">
        <v>1</v>
      </c>
      <c r="E58" s="11" t="n">
        <v>776</v>
      </c>
      <c r="F58" s="11" t="n">
        <v>574</v>
      </c>
      <c r="G58" s="5" t="n">
        <v>18</v>
      </c>
      <c r="H58" s="4" t="inlineStr">
        <is>
          <t>PVC board 18 mm</t>
        </is>
      </c>
      <c r="I58" s="12">
        <f>D58*E58*F58/1000000</f>
        <v/>
      </c>
      <c r="J58" s="4" t="inlineStr"/>
      <c r="K58" s="4" t="inlineStr">
        <is>
          <t>A14</t>
        </is>
      </c>
    </row>
    <row r="59">
      <c r="A59" s="4" t="n">
        <v>55</v>
      </c>
      <c r="B59" s="4" t="inlineStr">
        <is>
          <t>Base_Racks_400</t>
        </is>
      </c>
      <c r="C59" s="4" t="inlineStr">
        <is>
          <t>Side_B</t>
        </is>
      </c>
      <c r="D59" s="5" t="n">
        <v>1</v>
      </c>
      <c r="E59" s="11" t="n">
        <v>776</v>
      </c>
      <c r="F59" s="11" t="n">
        <v>574</v>
      </c>
      <c r="G59" s="5" t="n">
        <v>18</v>
      </c>
      <c r="H59" s="4" t="inlineStr">
        <is>
          <t>PVC board 18 mm</t>
        </is>
      </c>
      <c r="I59" s="12">
        <f>D59*E59*F59/1000000</f>
        <v/>
      </c>
      <c r="J59" s="4" t="inlineStr"/>
      <c r="K59" s="4" t="inlineStr">
        <is>
          <t>A15</t>
        </is>
      </c>
    </row>
    <row r="60">
      <c r="A60" s="4" t="n">
        <v>56</v>
      </c>
      <c r="B60" s="4" t="inlineStr">
        <is>
          <t>Base_Racks_400</t>
        </is>
      </c>
      <c r="C60" s="4" t="inlineStr">
        <is>
          <t>Stretcher_Back</t>
        </is>
      </c>
      <c r="D60" s="5" t="n">
        <v>1</v>
      </c>
      <c r="E60" s="11" t="n">
        <v>364</v>
      </c>
      <c r="F60" s="11" t="n">
        <v>100</v>
      </c>
      <c r="G60" s="5" t="n">
        <v>18</v>
      </c>
      <c r="H60" s="4" t="inlineStr">
        <is>
          <t>PVC board 18 mm</t>
        </is>
      </c>
      <c r="I60" s="12">
        <f>D60*E60*F60/1000000</f>
        <v/>
      </c>
      <c r="J60" s="4" t="inlineStr"/>
      <c r="K60" s="4" t="inlineStr">
        <is>
          <t>A20</t>
        </is>
      </c>
    </row>
    <row r="61">
      <c r="A61" s="4" t="n">
        <v>57</v>
      </c>
      <c r="B61" s="4" t="inlineStr">
        <is>
          <t>Base_Racks_400</t>
        </is>
      </c>
      <c r="C61" s="4" t="inlineStr">
        <is>
          <t>Stretcher_Front</t>
        </is>
      </c>
      <c r="D61" s="5" t="n">
        <v>1</v>
      </c>
      <c r="E61" s="11" t="n">
        <v>364</v>
      </c>
      <c r="F61" s="11" t="n">
        <v>100</v>
      </c>
      <c r="G61" s="5" t="n">
        <v>18</v>
      </c>
      <c r="H61" s="4" t="inlineStr">
        <is>
          <t>PVC board 18 mm</t>
        </is>
      </c>
      <c r="I61" s="12">
        <f>D61*E61*F61/1000000</f>
        <v/>
      </c>
      <c r="J61" s="4" t="inlineStr"/>
      <c r="K61" s="4" t="inlineStr">
        <is>
          <t>A20</t>
        </is>
      </c>
    </row>
    <row r="62">
      <c r="A62" s="4" t="n">
        <v>58</v>
      </c>
      <c r="B62" s="4" t="inlineStr">
        <is>
          <t>Base_Sink_900</t>
        </is>
      </c>
      <c r="C62" s="4" t="inlineStr">
        <is>
          <t>Bottom</t>
        </is>
      </c>
      <c r="D62" s="5" t="n">
        <v>1</v>
      </c>
      <c r="E62" s="11" t="n">
        <v>864</v>
      </c>
      <c r="F62" s="11" t="n">
        <v>592</v>
      </c>
      <c r="G62" s="5" t="n">
        <v>18</v>
      </c>
      <c r="H62" s="4" t="inlineStr">
        <is>
          <t>PVC board 18 mm</t>
        </is>
      </c>
      <c r="I62" s="12">
        <f>D62*E62*F62/1000000</f>
        <v/>
      </c>
      <c r="J62" s="4" t="inlineStr"/>
      <c r="K62" s="4" t="inlineStr">
        <is>
          <t>A12</t>
        </is>
      </c>
    </row>
    <row r="63">
      <c r="A63" s="4" t="n">
        <v>59</v>
      </c>
      <c r="B63" s="4" t="inlineStr">
        <is>
          <t>Base_Sink_900</t>
        </is>
      </c>
      <c r="C63" s="4" t="inlineStr">
        <is>
          <t>Door_1</t>
        </is>
      </c>
      <c r="D63" s="5" t="n">
        <v>1</v>
      </c>
      <c r="E63" s="11" t="n">
        <v>773</v>
      </c>
      <c r="F63" s="11" t="n">
        <v>447</v>
      </c>
      <c r="G63" s="5" t="n">
        <v>18</v>
      </c>
      <c r="H63" s="4" t="inlineStr">
        <is>
          <t>PVC board 18 mm</t>
        </is>
      </c>
      <c r="I63" s="12">
        <f>D63*E63*F63/1000000</f>
        <v/>
      </c>
      <c r="J63" s="4" t="inlineStr"/>
      <c r="K63" s="4" t="inlineStr">
        <is>
          <t>A16</t>
        </is>
      </c>
    </row>
    <row r="64">
      <c r="A64" s="4" t="n">
        <v>60</v>
      </c>
      <c r="B64" s="4" t="inlineStr">
        <is>
          <t>Base_Sink_900</t>
        </is>
      </c>
      <c r="C64" s="4" t="inlineStr">
        <is>
          <t>Door_2</t>
        </is>
      </c>
      <c r="D64" s="5" t="n">
        <v>1</v>
      </c>
      <c r="E64" s="11" t="n">
        <v>773</v>
      </c>
      <c r="F64" s="11" t="n">
        <v>447</v>
      </c>
      <c r="G64" s="5" t="n">
        <v>18</v>
      </c>
      <c r="H64" s="4" t="inlineStr">
        <is>
          <t>PVC board 18 mm</t>
        </is>
      </c>
      <c r="I64" s="12">
        <f>D64*E64*F64/1000000</f>
        <v/>
      </c>
      <c r="J64" s="4" t="inlineStr"/>
      <c r="K64" s="4" t="inlineStr">
        <is>
          <t>A16</t>
        </is>
      </c>
    </row>
    <row r="65">
      <c r="A65" s="4" t="n">
        <v>61</v>
      </c>
      <c r="B65" s="4" t="inlineStr">
        <is>
          <t>Base_Sink_900</t>
        </is>
      </c>
      <c r="C65" s="4" t="inlineStr">
        <is>
          <t>Kick_Back</t>
        </is>
      </c>
      <c r="D65" s="5" t="n">
        <v>1</v>
      </c>
      <c r="E65" s="11" t="n">
        <v>803</v>
      </c>
      <c r="F65" s="11" t="n">
        <v>73</v>
      </c>
      <c r="G65" s="5" t="n">
        <v>18</v>
      </c>
      <c r="H65" s="4" t="inlineStr">
        <is>
          <t>PVC board 18 mm</t>
        </is>
      </c>
      <c r="I65" s="12">
        <f>D65*E65*F65/1000000</f>
        <v/>
      </c>
      <c r="J65" s="4" t="inlineStr"/>
      <c r="K65" s="4" t="inlineStr">
        <is>
          <t>A13</t>
        </is>
      </c>
    </row>
    <row r="66">
      <c r="A66" s="4" t="n">
        <v>62</v>
      </c>
      <c r="B66" s="4" t="inlineStr">
        <is>
          <t>Base_Sink_900</t>
        </is>
      </c>
      <c r="C66" s="4" t="inlineStr">
        <is>
          <t>Kick_DrawerFront</t>
        </is>
      </c>
      <c r="D66" s="5" t="n">
        <v>1</v>
      </c>
      <c r="E66" s="11" t="n">
        <v>897</v>
      </c>
      <c r="F66" s="11" t="n">
        <v>87</v>
      </c>
      <c r="G66" s="5" t="n">
        <v>18</v>
      </c>
      <c r="H66" s="4" t="inlineStr">
        <is>
          <t>PVC board 18 mm</t>
        </is>
      </c>
      <c r="I66" s="12">
        <f>D66*E66*F66/1000000</f>
        <v/>
      </c>
      <c r="J66" s="4" t="inlineStr"/>
      <c r="K66" s="4" t="inlineStr">
        <is>
          <t>A8</t>
        </is>
      </c>
    </row>
    <row r="67">
      <c r="A67" s="4" t="n">
        <v>63</v>
      </c>
      <c r="B67" s="4" t="inlineStr">
        <is>
          <t>Base_Sink_900</t>
        </is>
      </c>
      <c r="C67" s="4" t="inlineStr">
        <is>
          <t>Kick_Inner_Front</t>
        </is>
      </c>
      <c r="D67" s="5" t="n">
        <v>1</v>
      </c>
      <c r="E67" s="11" t="n">
        <v>803</v>
      </c>
      <c r="F67" s="11" t="n">
        <v>73</v>
      </c>
      <c r="G67" s="5" t="n">
        <v>18</v>
      </c>
      <c r="H67" s="4" t="inlineStr">
        <is>
          <t>PVC board 18 mm</t>
        </is>
      </c>
      <c r="I67" s="12">
        <f>D67*E67*F67/1000000</f>
        <v/>
      </c>
      <c r="J67" s="4" t="inlineStr"/>
      <c r="K67" s="4" t="inlineStr">
        <is>
          <t>A10</t>
        </is>
      </c>
    </row>
    <row r="68">
      <c r="A68" s="4" t="n">
        <v>64</v>
      </c>
      <c r="B68" s="4" t="inlineStr">
        <is>
          <t>Base_Sink_900</t>
        </is>
      </c>
      <c r="C68" s="4" t="inlineStr">
        <is>
          <t>Kick_Side_A</t>
        </is>
      </c>
      <c r="D68" s="5" t="n">
        <v>1</v>
      </c>
      <c r="E68" s="11" t="n">
        <v>400</v>
      </c>
      <c r="F68" s="11" t="n">
        <v>73</v>
      </c>
      <c r="G68" s="5" t="n">
        <v>18</v>
      </c>
      <c r="H68" s="4" t="inlineStr">
        <is>
          <t>PVC board 18 mm</t>
        </is>
      </c>
      <c r="I68" s="12">
        <f>D68*E68*F68/1000000</f>
        <v/>
      </c>
      <c r="J68" s="4" t="inlineStr"/>
      <c r="K68" s="4" t="inlineStr">
        <is>
          <t>A1</t>
        </is>
      </c>
    </row>
    <row r="69">
      <c r="A69" s="4" t="n">
        <v>65</v>
      </c>
      <c r="B69" s="4" t="inlineStr">
        <is>
          <t>Base_Sink_900</t>
        </is>
      </c>
      <c r="C69" s="4" t="inlineStr">
        <is>
          <t>Kick_Side_B</t>
        </is>
      </c>
      <c r="D69" s="5" t="n">
        <v>1</v>
      </c>
      <c r="E69" s="11" t="n">
        <v>400</v>
      </c>
      <c r="F69" s="11" t="n">
        <v>73</v>
      </c>
      <c r="G69" s="5" t="n">
        <v>18</v>
      </c>
      <c r="H69" s="4" t="inlineStr">
        <is>
          <t>PVC board 18 mm</t>
        </is>
      </c>
      <c r="I69" s="12">
        <f>D69*E69*F69/1000000</f>
        <v/>
      </c>
      <c r="J69" s="4" t="inlineStr"/>
      <c r="K69" s="4" t="inlineStr">
        <is>
          <t>A1</t>
        </is>
      </c>
    </row>
    <row r="70">
      <c r="A70" s="4" t="n">
        <v>66</v>
      </c>
      <c r="B70" s="4" t="inlineStr">
        <is>
          <t>Base_Sink_900</t>
        </is>
      </c>
      <c r="C70" s="4" t="inlineStr">
        <is>
          <t>Plinth_Back</t>
        </is>
      </c>
      <c r="D70" s="5" t="n">
        <v>1</v>
      </c>
      <c r="E70" s="11" t="n">
        <v>900</v>
      </c>
      <c r="F70" s="11" t="n">
        <v>100</v>
      </c>
      <c r="G70" s="5" t="n">
        <v>18</v>
      </c>
      <c r="H70" s="4" t="inlineStr">
        <is>
          <t>PVC board 18 mm</t>
        </is>
      </c>
      <c r="I70" s="12">
        <f>D70*E70*F70/1000000</f>
        <v/>
      </c>
      <c r="J70" s="4" t="inlineStr"/>
      <c r="K70" s="4" t="inlineStr">
        <is>
          <t>A7</t>
        </is>
      </c>
    </row>
    <row r="71">
      <c r="A71" s="4" t="n">
        <v>67</v>
      </c>
      <c r="B71" s="4" t="inlineStr">
        <is>
          <t>Base_Sink_900</t>
        </is>
      </c>
      <c r="C71" s="4" t="inlineStr">
        <is>
          <t>Plinth_Side_A</t>
        </is>
      </c>
      <c r="D71" s="5" t="n">
        <v>1</v>
      </c>
      <c r="E71" s="11" t="n">
        <v>454</v>
      </c>
      <c r="F71" s="11" t="n">
        <v>100</v>
      </c>
      <c r="G71" s="5" t="n">
        <v>18</v>
      </c>
      <c r="H71" s="4" t="inlineStr">
        <is>
          <t>PVC board 18 mm</t>
        </is>
      </c>
      <c r="I71" s="12">
        <f>D71*E71*F71/1000000</f>
        <v/>
      </c>
      <c r="J71" s="4" t="inlineStr"/>
      <c r="K71" s="4" t="inlineStr">
        <is>
          <t>A18</t>
        </is>
      </c>
    </row>
    <row r="72">
      <c r="A72" s="4" t="n">
        <v>68</v>
      </c>
      <c r="B72" s="4" t="inlineStr">
        <is>
          <t>Base_Sink_900</t>
        </is>
      </c>
      <c r="C72" s="4" t="inlineStr">
        <is>
          <t>Plinth_Side_B</t>
        </is>
      </c>
      <c r="D72" s="5" t="n">
        <v>1</v>
      </c>
      <c r="E72" s="11" t="n">
        <v>454</v>
      </c>
      <c r="F72" s="11" t="n">
        <v>100</v>
      </c>
      <c r="G72" s="5" t="n">
        <v>18</v>
      </c>
      <c r="H72" s="4" t="inlineStr">
        <is>
          <t>PVC board 18 mm</t>
        </is>
      </c>
      <c r="I72" s="12">
        <f>D72*E72*F72/1000000</f>
        <v/>
      </c>
      <c r="J72" s="4" t="inlineStr"/>
      <c r="K72" s="4" t="inlineStr">
        <is>
          <t>A18</t>
        </is>
      </c>
    </row>
    <row r="73">
      <c r="A73" s="4" t="n">
        <v>69</v>
      </c>
      <c r="B73" s="4" t="inlineStr">
        <is>
          <t>Base_Sink_900</t>
        </is>
      </c>
      <c r="C73" s="4" t="inlineStr">
        <is>
          <t>Side_A</t>
        </is>
      </c>
      <c r="D73" s="5" t="n">
        <v>1</v>
      </c>
      <c r="E73" s="11" t="n">
        <v>776</v>
      </c>
      <c r="F73" s="11" t="n">
        <v>592</v>
      </c>
      <c r="G73" s="5" t="n">
        <v>18</v>
      </c>
      <c r="H73" s="4" t="inlineStr">
        <is>
          <t>PVC board 18 mm</t>
        </is>
      </c>
      <c r="I73" s="12">
        <f>D73*E73*F73/1000000</f>
        <v/>
      </c>
      <c r="J73" s="4" t="inlineStr"/>
      <c r="K73" s="4" t="inlineStr">
        <is>
          <t>A13</t>
        </is>
      </c>
    </row>
    <row r="74">
      <c r="A74" s="4" t="n">
        <v>70</v>
      </c>
      <c r="B74" s="4" t="inlineStr">
        <is>
          <t>Base_Sink_900</t>
        </is>
      </c>
      <c r="C74" s="4" t="inlineStr">
        <is>
          <t>Side_B</t>
        </is>
      </c>
      <c r="D74" s="5" t="n">
        <v>1</v>
      </c>
      <c r="E74" s="11" t="n">
        <v>776</v>
      </c>
      <c r="F74" s="11" t="n">
        <v>592</v>
      </c>
      <c r="G74" s="5" t="n">
        <v>18</v>
      </c>
      <c r="H74" s="4" t="inlineStr">
        <is>
          <t>PVC board 18 mm</t>
        </is>
      </c>
      <c r="I74" s="12">
        <f>D74*E74*F74/1000000</f>
        <v/>
      </c>
      <c r="J74" s="4" t="inlineStr"/>
      <c r="K74" s="4" t="inlineStr">
        <is>
          <t>A14</t>
        </is>
      </c>
    </row>
    <row r="75">
      <c r="A75" s="4" t="n">
        <v>71</v>
      </c>
      <c r="B75" s="4" t="inlineStr">
        <is>
          <t>Base_Sink_900</t>
        </is>
      </c>
      <c r="C75" s="4" t="inlineStr">
        <is>
          <t>Stretcher_Back</t>
        </is>
      </c>
      <c r="D75" s="5" t="n">
        <v>1</v>
      </c>
      <c r="E75" s="11" t="n">
        <v>864</v>
      </c>
      <c r="F75" s="11" t="n">
        <v>100</v>
      </c>
      <c r="G75" s="5" t="n">
        <v>18</v>
      </c>
      <c r="H75" s="4" t="inlineStr">
        <is>
          <t>PVC board 18 mm</t>
        </is>
      </c>
      <c r="I75" s="12">
        <f>D75*E75*F75/1000000</f>
        <v/>
      </c>
      <c r="J75" s="4" t="inlineStr"/>
      <c r="K75" s="4" t="inlineStr">
        <is>
          <t>A13</t>
        </is>
      </c>
    </row>
    <row r="76">
      <c r="A76" s="4" t="n">
        <v>72</v>
      </c>
      <c r="B76" s="4" t="inlineStr">
        <is>
          <t>Base_Sink_900</t>
        </is>
      </c>
      <c r="C76" s="4" t="inlineStr">
        <is>
          <t>Stretcher_Front</t>
        </is>
      </c>
      <c r="D76" s="5" t="n">
        <v>1</v>
      </c>
      <c r="E76" s="11" t="n">
        <v>864</v>
      </c>
      <c r="F76" s="11" t="n">
        <v>100</v>
      </c>
      <c r="G76" s="5" t="n">
        <v>18</v>
      </c>
      <c r="H76" s="4" t="inlineStr">
        <is>
          <t>PVC board 18 mm</t>
        </is>
      </c>
      <c r="I76" s="12">
        <f>D76*E76*F76/1000000</f>
        <v/>
      </c>
      <c r="J76" s="4" t="inlineStr"/>
      <c r="K76" s="4" t="inlineStr">
        <is>
          <t>A13</t>
        </is>
      </c>
    </row>
    <row r="77">
      <c r="A77" s="4" t="n">
        <v>73</v>
      </c>
      <c r="B77" s="4" t="inlineStr">
        <is>
          <t>Island</t>
        </is>
      </c>
      <c r="C77" s="4" t="inlineStr">
        <is>
          <t>Island_Back_Panel (seating side)</t>
        </is>
      </c>
      <c r="D77" s="5" t="n">
        <v>1</v>
      </c>
      <c r="E77" s="11" t="n">
        <v>1650</v>
      </c>
      <c r="F77" s="11" t="n">
        <v>876</v>
      </c>
      <c r="G77" s="5" t="n">
        <v>18</v>
      </c>
      <c r="H77" s="4" t="inlineStr">
        <is>
          <t>PVC board 18 mm</t>
        </is>
      </c>
      <c r="I77" s="12">
        <f>D77*E77*F77/1000000</f>
        <v/>
      </c>
      <c r="J77" s="4" t="inlineStr"/>
      <c r="K77" s="4" t="inlineStr">
        <is>
          <t>A5</t>
        </is>
      </c>
    </row>
    <row r="78">
      <c r="A78" s="4" t="n">
        <v>74</v>
      </c>
      <c r="B78" s="4" t="inlineStr">
        <is>
          <t>Island</t>
        </is>
      </c>
      <c r="C78" s="4" t="inlineStr">
        <is>
          <t>Island_End_Panel_A</t>
        </is>
      </c>
      <c r="D78" s="5" t="n">
        <v>1</v>
      </c>
      <c r="E78" s="11" t="n">
        <v>876</v>
      </c>
      <c r="F78" s="11" t="n">
        <v>628</v>
      </c>
      <c r="G78" s="5" t="n">
        <v>18</v>
      </c>
      <c r="H78" s="4" t="inlineStr">
        <is>
          <t>PVC board 18 mm</t>
        </is>
      </c>
      <c r="I78" s="12">
        <f>D78*E78*F78/1000000</f>
        <v/>
      </c>
      <c r="J78" s="4" t="inlineStr"/>
      <c r="K78" s="4" t="inlineStr">
        <is>
          <t>A11</t>
        </is>
      </c>
    </row>
    <row r="79">
      <c r="A79" s="4" t="n">
        <v>75</v>
      </c>
      <c r="B79" s="4" t="inlineStr">
        <is>
          <t>Island</t>
        </is>
      </c>
      <c r="C79" s="4" t="inlineStr">
        <is>
          <t>Island_End_Panel_B</t>
        </is>
      </c>
      <c r="D79" s="5" t="n">
        <v>1</v>
      </c>
      <c r="E79" s="11" t="n">
        <v>876</v>
      </c>
      <c r="F79" s="11" t="n">
        <v>628</v>
      </c>
      <c r="G79" s="5" t="n">
        <v>18</v>
      </c>
      <c r="H79" s="4" t="inlineStr">
        <is>
          <t>PVC board 18 mm</t>
        </is>
      </c>
      <c r="I79" s="12">
        <f>D79*E79*F79/1000000</f>
        <v/>
      </c>
      <c r="J79" s="4" t="inlineStr"/>
      <c r="K79" s="4" t="inlineStr">
        <is>
          <t>A11</t>
        </is>
      </c>
    </row>
    <row r="80">
      <c r="A80" s="4" t="n">
        <v>76</v>
      </c>
      <c r="B80" s="4" t="inlineStr">
        <is>
          <t>Island_1_Racks_450</t>
        </is>
      </c>
      <c r="C80" s="4" t="inlineStr">
        <is>
          <t>Back</t>
        </is>
      </c>
      <c r="D80" s="5" t="n">
        <v>1</v>
      </c>
      <c r="E80" s="11" t="n">
        <v>776</v>
      </c>
      <c r="F80" s="11" t="n">
        <v>450</v>
      </c>
      <c r="G80" s="5" t="n">
        <v>18</v>
      </c>
      <c r="H80" s="4" t="inlineStr">
        <is>
          <t>PVC board 18 mm</t>
        </is>
      </c>
      <c r="I80" s="12">
        <f>D80*E80*F80/1000000</f>
        <v/>
      </c>
      <c r="J80" s="4" t="inlineStr"/>
      <c r="K80" s="4" t="inlineStr">
        <is>
          <t>A13</t>
        </is>
      </c>
    </row>
    <row r="81">
      <c r="A81" s="4" t="n">
        <v>77</v>
      </c>
      <c r="B81" s="4" t="inlineStr">
        <is>
          <t>Island_1_Racks_450</t>
        </is>
      </c>
      <c r="C81" s="4" t="inlineStr">
        <is>
          <t>Bottom</t>
        </is>
      </c>
      <c r="D81" s="5" t="n">
        <v>1</v>
      </c>
      <c r="E81" s="11" t="n">
        <v>574</v>
      </c>
      <c r="F81" s="11" t="n">
        <v>414</v>
      </c>
      <c r="G81" s="5" t="n">
        <v>18</v>
      </c>
      <c r="H81" s="4" t="inlineStr">
        <is>
          <t>PVC board 18 mm</t>
        </is>
      </c>
      <c r="I81" s="12">
        <f>D81*E81*F81/1000000</f>
        <v/>
      </c>
      <c r="J81" s="4" t="inlineStr"/>
      <c r="K81" s="4" t="inlineStr">
        <is>
          <t>A17</t>
        </is>
      </c>
    </row>
    <row r="82">
      <c r="A82" s="4" t="n">
        <v>78</v>
      </c>
      <c r="B82" s="4" t="inlineStr">
        <is>
          <t>Island_1_Racks_450</t>
        </is>
      </c>
      <c r="C82" s="4" t="inlineStr">
        <is>
          <t>DrawerFront_1</t>
        </is>
      </c>
      <c r="D82" s="5" t="n">
        <v>1</v>
      </c>
      <c r="E82" s="11" t="n">
        <v>447</v>
      </c>
      <c r="F82" s="11" t="n">
        <v>307.4</v>
      </c>
      <c r="G82" s="5" t="n">
        <v>18</v>
      </c>
      <c r="H82" s="4" t="inlineStr">
        <is>
          <t>PVC board 18 mm</t>
        </is>
      </c>
      <c r="I82" s="12">
        <f>D82*E82*F82/1000000</f>
        <v/>
      </c>
      <c r="J82" s="4" t="inlineStr"/>
      <c r="K82" s="4" t="inlineStr">
        <is>
          <t>A19</t>
        </is>
      </c>
    </row>
    <row r="83">
      <c r="A83" s="4" t="n">
        <v>79</v>
      </c>
      <c r="B83" s="4" t="inlineStr">
        <is>
          <t>Island_1_Racks_450</t>
        </is>
      </c>
      <c r="C83" s="4" t="inlineStr">
        <is>
          <t>DrawerFront_2</t>
        </is>
      </c>
      <c r="D83" s="5" t="n">
        <v>1</v>
      </c>
      <c r="E83" s="11" t="n">
        <v>447</v>
      </c>
      <c r="F83" s="11" t="n">
        <v>268.6</v>
      </c>
      <c r="G83" s="5" t="n">
        <v>18</v>
      </c>
      <c r="H83" s="4" t="inlineStr">
        <is>
          <t>PVC board 18 mm</t>
        </is>
      </c>
      <c r="I83" s="12">
        <f>D83*E83*F83/1000000</f>
        <v/>
      </c>
      <c r="J83" s="4" t="inlineStr"/>
      <c r="K83" s="4" t="inlineStr">
        <is>
          <t>A19</t>
        </is>
      </c>
    </row>
    <row r="84">
      <c r="A84" s="4" t="n">
        <v>80</v>
      </c>
      <c r="B84" s="4" t="inlineStr">
        <is>
          <t>Island_1_Racks_450</t>
        </is>
      </c>
      <c r="C84" s="4" t="inlineStr">
        <is>
          <t>DrawerFront_3</t>
        </is>
      </c>
      <c r="D84" s="5" t="n">
        <v>1</v>
      </c>
      <c r="E84" s="11" t="n">
        <v>447</v>
      </c>
      <c r="F84" s="11" t="n">
        <v>191</v>
      </c>
      <c r="G84" s="5" t="n">
        <v>18</v>
      </c>
      <c r="H84" s="4" t="inlineStr">
        <is>
          <t>PVC board 18 mm</t>
        </is>
      </c>
      <c r="I84" s="12">
        <f>D84*E84*F84/1000000</f>
        <v/>
      </c>
      <c r="J84" s="4" t="inlineStr"/>
      <c r="K84" s="4" t="inlineStr">
        <is>
          <t>A19</t>
        </is>
      </c>
    </row>
    <row r="85">
      <c r="A85" s="4" t="n">
        <v>81</v>
      </c>
      <c r="B85" s="4" t="inlineStr">
        <is>
          <t>Island_1_Racks_450</t>
        </is>
      </c>
      <c r="C85" s="4" t="inlineStr">
        <is>
          <t>Kick_Back</t>
        </is>
      </c>
      <c r="D85" s="5" t="n">
        <v>1</v>
      </c>
      <c r="E85" s="11" t="n">
        <v>353</v>
      </c>
      <c r="F85" s="11" t="n">
        <v>73</v>
      </c>
      <c r="G85" s="5" t="n">
        <v>18</v>
      </c>
      <c r="H85" s="4" t="inlineStr">
        <is>
          <t>PVC board 18 mm</t>
        </is>
      </c>
      <c r="I85" s="12">
        <f>D85*E85*F85/1000000</f>
        <v/>
      </c>
      <c r="J85" s="4" t="inlineStr"/>
      <c r="K85" s="4" t="inlineStr">
        <is>
          <t>A20</t>
        </is>
      </c>
    </row>
    <row r="86">
      <c r="A86" s="4" t="n">
        <v>82</v>
      </c>
      <c r="B86" s="4" t="inlineStr">
        <is>
          <t>Island_1_Racks_450</t>
        </is>
      </c>
      <c r="C86" s="4" t="inlineStr">
        <is>
          <t>Kick_DrawerFront</t>
        </is>
      </c>
      <c r="D86" s="5" t="n">
        <v>1</v>
      </c>
      <c r="E86" s="11" t="n">
        <v>447</v>
      </c>
      <c r="F86" s="11" t="n">
        <v>87</v>
      </c>
      <c r="G86" s="5" t="n">
        <v>18</v>
      </c>
      <c r="H86" s="4" t="inlineStr">
        <is>
          <t>PVC board 18 mm</t>
        </is>
      </c>
      <c r="I86" s="12">
        <f>D86*E86*F86/1000000</f>
        <v/>
      </c>
      <c r="J86" s="4" t="inlineStr"/>
      <c r="K86" s="4" t="inlineStr">
        <is>
          <t>A1</t>
        </is>
      </c>
    </row>
    <row r="87">
      <c r="A87" s="4" t="n">
        <v>83</v>
      </c>
      <c r="B87" s="4" t="inlineStr">
        <is>
          <t>Island_1_Racks_450</t>
        </is>
      </c>
      <c r="C87" s="4" t="inlineStr">
        <is>
          <t>Kick_Inner_Front</t>
        </is>
      </c>
      <c r="D87" s="5" t="n">
        <v>1</v>
      </c>
      <c r="E87" s="11" t="n">
        <v>353</v>
      </c>
      <c r="F87" s="11" t="n">
        <v>73</v>
      </c>
      <c r="G87" s="5" t="n">
        <v>18</v>
      </c>
      <c r="H87" s="4" t="inlineStr">
        <is>
          <t>PVC board 18 mm</t>
        </is>
      </c>
      <c r="I87" s="12">
        <f>D87*E87*F87/1000000</f>
        <v/>
      </c>
      <c r="J87" s="4" t="inlineStr"/>
      <c r="K87" s="4" t="inlineStr">
        <is>
          <t>A20</t>
        </is>
      </c>
    </row>
    <row r="88">
      <c r="A88" s="4" t="n">
        <v>84</v>
      </c>
      <c r="B88" s="4" t="inlineStr">
        <is>
          <t>Island_1_Racks_450</t>
        </is>
      </c>
      <c r="C88" s="4" t="inlineStr">
        <is>
          <t>Kick_Side_A</t>
        </is>
      </c>
      <c r="D88" s="5" t="n">
        <v>1</v>
      </c>
      <c r="E88" s="11" t="n">
        <v>400</v>
      </c>
      <c r="F88" s="11" t="n">
        <v>73</v>
      </c>
      <c r="G88" s="5" t="n">
        <v>18</v>
      </c>
      <c r="H88" s="4" t="inlineStr">
        <is>
          <t>PVC board 18 mm</t>
        </is>
      </c>
      <c r="I88" s="12">
        <f>D88*E88*F88/1000000</f>
        <v/>
      </c>
      <c r="J88" s="4" t="inlineStr"/>
      <c r="K88" s="4" t="inlineStr">
        <is>
          <t>A1</t>
        </is>
      </c>
    </row>
    <row r="89">
      <c r="A89" s="4" t="n">
        <v>85</v>
      </c>
      <c r="B89" s="4" t="inlineStr">
        <is>
          <t>Island_1_Racks_450</t>
        </is>
      </c>
      <c r="C89" s="4" t="inlineStr">
        <is>
          <t>Kick_Side_B</t>
        </is>
      </c>
      <c r="D89" s="5" t="n">
        <v>1</v>
      </c>
      <c r="E89" s="11" t="n">
        <v>400</v>
      </c>
      <c r="F89" s="11" t="n">
        <v>73</v>
      </c>
      <c r="G89" s="5" t="n">
        <v>18</v>
      </c>
      <c r="H89" s="4" t="inlineStr">
        <is>
          <t>PVC board 18 mm</t>
        </is>
      </c>
      <c r="I89" s="12">
        <f>D89*E89*F89/1000000</f>
        <v/>
      </c>
      <c r="J89" s="4" t="inlineStr"/>
      <c r="K89" s="4" t="inlineStr">
        <is>
          <t>A20</t>
        </is>
      </c>
    </row>
    <row r="90">
      <c r="A90" s="4" t="n">
        <v>86</v>
      </c>
      <c r="B90" s="4" t="inlineStr">
        <is>
          <t>Island_1_Racks_450</t>
        </is>
      </c>
      <c r="C90" s="4" t="inlineStr">
        <is>
          <t>Plinth_Back</t>
        </is>
      </c>
      <c r="D90" s="5" t="n">
        <v>1</v>
      </c>
      <c r="E90" s="11" t="n">
        <v>450</v>
      </c>
      <c r="F90" s="11" t="n">
        <v>100</v>
      </c>
      <c r="G90" s="5" t="n">
        <v>18</v>
      </c>
      <c r="H90" s="4" t="inlineStr">
        <is>
          <t>PVC board 18 mm</t>
        </is>
      </c>
      <c r="I90" s="12">
        <f>D90*E90*F90/1000000</f>
        <v/>
      </c>
      <c r="J90" s="4" t="inlineStr"/>
      <c r="K90" s="4" t="inlineStr">
        <is>
          <t>A19</t>
        </is>
      </c>
    </row>
    <row r="91">
      <c r="A91" s="4" t="n">
        <v>87</v>
      </c>
      <c r="B91" s="4" t="inlineStr">
        <is>
          <t>Island_1_Racks_450</t>
        </is>
      </c>
      <c r="C91" s="4" t="inlineStr">
        <is>
          <t>Plinth_Side_A</t>
        </is>
      </c>
      <c r="D91" s="5" t="n">
        <v>1</v>
      </c>
      <c r="E91" s="11" t="n">
        <v>454</v>
      </c>
      <c r="F91" s="11" t="n">
        <v>100</v>
      </c>
      <c r="G91" s="5" t="n">
        <v>18</v>
      </c>
      <c r="H91" s="4" t="inlineStr">
        <is>
          <t>PVC board 18 mm</t>
        </is>
      </c>
      <c r="I91" s="12">
        <f>D91*E91*F91/1000000</f>
        <v/>
      </c>
      <c r="J91" s="4" t="inlineStr"/>
      <c r="K91" s="4" t="inlineStr">
        <is>
          <t>A4</t>
        </is>
      </c>
    </row>
    <row r="92">
      <c r="A92" s="4" t="n">
        <v>88</v>
      </c>
      <c r="B92" s="4" t="inlineStr">
        <is>
          <t>Island_1_Racks_450</t>
        </is>
      </c>
      <c r="C92" s="4" t="inlineStr">
        <is>
          <t>Plinth_Side_B</t>
        </is>
      </c>
      <c r="D92" s="5" t="n">
        <v>1</v>
      </c>
      <c r="E92" s="11" t="n">
        <v>454</v>
      </c>
      <c r="F92" s="11" t="n">
        <v>100</v>
      </c>
      <c r="G92" s="5" t="n">
        <v>18</v>
      </c>
      <c r="H92" s="4" t="inlineStr">
        <is>
          <t>PVC board 18 mm</t>
        </is>
      </c>
      <c r="I92" s="12">
        <f>D92*E92*F92/1000000</f>
        <v/>
      </c>
      <c r="J92" s="4" t="inlineStr"/>
      <c r="K92" s="4" t="inlineStr">
        <is>
          <t>A4</t>
        </is>
      </c>
    </row>
    <row r="93">
      <c r="A93" s="4" t="n">
        <v>89</v>
      </c>
      <c r="B93" s="4" t="inlineStr">
        <is>
          <t>Island_1_Racks_450</t>
        </is>
      </c>
      <c r="C93" s="4" t="inlineStr">
        <is>
          <t>Side_A</t>
        </is>
      </c>
      <c r="D93" s="5" t="n">
        <v>1</v>
      </c>
      <c r="E93" s="11" t="n">
        <v>776</v>
      </c>
      <c r="F93" s="11" t="n">
        <v>574</v>
      </c>
      <c r="G93" s="5" t="n">
        <v>18</v>
      </c>
      <c r="H93" s="4" t="inlineStr">
        <is>
          <t>PVC board 18 mm</t>
        </is>
      </c>
      <c r="I93" s="12">
        <f>D93*E93*F93/1000000</f>
        <v/>
      </c>
      <c r="J93" s="4" t="inlineStr"/>
      <c r="K93" s="4" t="inlineStr">
        <is>
          <t>A15</t>
        </is>
      </c>
    </row>
    <row r="94">
      <c r="A94" s="4" t="n">
        <v>90</v>
      </c>
      <c r="B94" s="4" t="inlineStr">
        <is>
          <t>Island_1_Racks_450</t>
        </is>
      </c>
      <c r="C94" s="4" t="inlineStr">
        <is>
          <t>Side_B</t>
        </is>
      </c>
      <c r="D94" s="5" t="n">
        <v>1</v>
      </c>
      <c r="E94" s="11" t="n">
        <v>776</v>
      </c>
      <c r="F94" s="11" t="n">
        <v>574</v>
      </c>
      <c r="G94" s="5" t="n">
        <v>18</v>
      </c>
      <c r="H94" s="4" t="inlineStr">
        <is>
          <t>PVC board 18 mm</t>
        </is>
      </c>
      <c r="I94" s="12">
        <f>D94*E94*F94/1000000</f>
        <v/>
      </c>
      <c r="J94" s="4" t="inlineStr"/>
      <c r="K94" s="4" t="inlineStr">
        <is>
          <t>A15</t>
        </is>
      </c>
    </row>
    <row r="95">
      <c r="A95" s="4" t="n">
        <v>91</v>
      </c>
      <c r="B95" s="4" t="inlineStr">
        <is>
          <t>Island_1_Racks_450</t>
        </is>
      </c>
      <c r="C95" s="4" t="inlineStr">
        <is>
          <t>Stretcher_Back</t>
        </is>
      </c>
      <c r="D95" s="5" t="n">
        <v>1</v>
      </c>
      <c r="E95" s="11" t="n">
        <v>414</v>
      </c>
      <c r="F95" s="11" t="n">
        <v>100</v>
      </c>
      <c r="G95" s="5" t="n">
        <v>18</v>
      </c>
      <c r="H95" s="4" t="inlineStr">
        <is>
          <t>PVC board 18 mm</t>
        </is>
      </c>
      <c r="I95" s="12">
        <f>D95*E95*F95/1000000</f>
        <v/>
      </c>
      <c r="J95" s="4" t="inlineStr"/>
      <c r="K95" s="4" t="inlineStr">
        <is>
          <t>A16</t>
        </is>
      </c>
    </row>
    <row r="96">
      <c r="A96" s="4" t="n">
        <v>92</v>
      </c>
      <c r="B96" s="4" t="inlineStr">
        <is>
          <t>Island_1_Racks_450</t>
        </is>
      </c>
      <c r="C96" s="4" t="inlineStr">
        <is>
          <t>Stretcher_Front</t>
        </is>
      </c>
      <c r="D96" s="5" t="n">
        <v>1</v>
      </c>
      <c r="E96" s="11" t="n">
        <v>414</v>
      </c>
      <c r="F96" s="11" t="n">
        <v>100</v>
      </c>
      <c r="G96" s="5" t="n">
        <v>18</v>
      </c>
      <c r="H96" s="4" t="inlineStr">
        <is>
          <t>PVC board 18 mm</t>
        </is>
      </c>
      <c r="I96" s="12">
        <f>D96*E96*F96/1000000</f>
        <v/>
      </c>
      <c r="J96" s="4" t="inlineStr"/>
      <c r="K96" s="4" t="inlineStr">
        <is>
          <t>A19</t>
        </is>
      </c>
    </row>
    <row r="97">
      <c r="A97" s="4" t="n">
        <v>93</v>
      </c>
      <c r="B97" s="4" t="inlineStr">
        <is>
          <t>Island_2_Induction_750</t>
        </is>
      </c>
      <c r="C97" s="4" t="inlineStr">
        <is>
          <t>Back</t>
        </is>
      </c>
      <c r="D97" s="5" t="n">
        <v>1</v>
      </c>
      <c r="E97" s="11" t="n">
        <v>776</v>
      </c>
      <c r="F97" s="11" t="n">
        <v>750</v>
      </c>
      <c r="G97" s="5" t="n">
        <v>18</v>
      </c>
      <c r="H97" s="4" t="inlineStr">
        <is>
          <t>PVC board 18 mm</t>
        </is>
      </c>
      <c r="I97" s="12">
        <f>D97*E97*F97/1000000</f>
        <v/>
      </c>
      <c r="J97" s="4" t="inlineStr"/>
      <c r="K97" s="4" t="inlineStr">
        <is>
          <t>A13</t>
        </is>
      </c>
    </row>
    <row r="98">
      <c r="A98" s="4" t="n">
        <v>94</v>
      </c>
      <c r="B98" s="4" t="inlineStr">
        <is>
          <t>Island_2_Induction_750</t>
        </is>
      </c>
      <c r="C98" s="4" t="inlineStr">
        <is>
          <t>Bottom</t>
        </is>
      </c>
      <c r="D98" s="5" t="n">
        <v>1</v>
      </c>
      <c r="E98" s="11" t="n">
        <v>714</v>
      </c>
      <c r="F98" s="11" t="n">
        <v>574</v>
      </c>
      <c r="G98" s="5" t="n">
        <v>18</v>
      </c>
      <c r="H98" s="4" t="inlineStr">
        <is>
          <t>PVC board 18 mm</t>
        </is>
      </c>
      <c r="I98" s="12">
        <f>D98*E98*F98/1000000</f>
        <v/>
      </c>
      <c r="J98" s="4" t="inlineStr"/>
      <c r="K98" s="4" t="inlineStr">
        <is>
          <t>A17</t>
        </is>
      </c>
    </row>
    <row r="99">
      <c r="A99" s="4" t="n">
        <v>95</v>
      </c>
      <c r="B99" s="4" t="inlineStr">
        <is>
          <t>Island_2_Induction_750</t>
        </is>
      </c>
      <c r="C99" s="4" t="inlineStr">
        <is>
          <t>DrawerFront_1</t>
        </is>
      </c>
      <c r="D99" s="5" t="n">
        <v>1</v>
      </c>
      <c r="E99" s="11" t="n">
        <v>747</v>
      </c>
      <c r="F99" s="11" t="n">
        <v>325</v>
      </c>
      <c r="G99" s="5" t="n">
        <v>18</v>
      </c>
      <c r="H99" s="4" t="inlineStr">
        <is>
          <t>PVC board 18 mm</t>
        </is>
      </c>
      <c r="I99" s="12">
        <f>D99*E99*F99/1000000</f>
        <v/>
      </c>
      <c r="J99" s="4" t="inlineStr"/>
      <c r="K99" s="4" t="inlineStr">
        <is>
          <t>A16</t>
        </is>
      </c>
    </row>
    <row r="100">
      <c r="A100" s="4" t="n">
        <v>96</v>
      </c>
      <c r="B100" s="4" t="inlineStr">
        <is>
          <t>Island_2_Induction_750</t>
        </is>
      </c>
      <c r="C100" s="4" t="inlineStr">
        <is>
          <t>DrawerFront_2</t>
        </is>
      </c>
      <c r="D100" s="5" t="n">
        <v>1</v>
      </c>
      <c r="E100" s="11" t="n">
        <v>747</v>
      </c>
      <c r="F100" s="11" t="n">
        <v>325</v>
      </c>
      <c r="G100" s="5" t="n">
        <v>18</v>
      </c>
      <c r="H100" s="4" t="inlineStr">
        <is>
          <t>PVC board 18 mm</t>
        </is>
      </c>
      <c r="I100" s="12">
        <f>D100*E100*F100/1000000</f>
        <v/>
      </c>
      <c r="J100" s="4" t="inlineStr"/>
      <c r="K100" s="4" t="inlineStr">
        <is>
          <t>A16</t>
        </is>
      </c>
    </row>
    <row r="101">
      <c r="A101" s="4" t="n">
        <v>97</v>
      </c>
      <c r="B101" s="4" t="inlineStr">
        <is>
          <t>Island_2_Induction_750</t>
        </is>
      </c>
      <c r="C101" s="4" t="inlineStr">
        <is>
          <t>DrawerFront_3</t>
        </is>
      </c>
      <c r="D101" s="5" t="n">
        <v>1</v>
      </c>
      <c r="E101" s="11" t="n">
        <v>747</v>
      </c>
      <c r="F101" s="11" t="n">
        <v>117</v>
      </c>
      <c r="G101" s="5" t="n">
        <v>18</v>
      </c>
      <c r="H101" s="4" t="inlineStr">
        <is>
          <t>PVC board 18 mm</t>
        </is>
      </c>
      <c r="I101" s="12">
        <f>D101*E101*F101/1000000</f>
        <v/>
      </c>
      <c r="J101" s="4" t="inlineStr"/>
      <c r="K101" s="4" t="inlineStr">
        <is>
          <t>A9</t>
        </is>
      </c>
    </row>
    <row r="102">
      <c r="A102" s="4" t="n">
        <v>98</v>
      </c>
      <c r="B102" s="4" t="inlineStr">
        <is>
          <t>Island_2_Induction_750</t>
        </is>
      </c>
      <c r="C102" s="4" t="inlineStr">
        <is>
          <t>Kick_Back</t>
        </is>
      </c>
      <c r="D102" s="5" t="n">
        <v>1</v>
      </c>
      <c r="E102" s="11" t="n">
        <v>653</v>
      </c>
      <c r="F102" s="11" t="n">
        <v>73</v>
      </c>
      <c r="G102" s="5" t="n">
        <v>18</v>
      </c>
      <c r="H102" s="4" t="inlineStr">
        <is>
          <t>PVC board 18 mm</t>
        </is>
      </c>
      <c r="I102" s="12">
        <f>D102*E102*F102/1000000</f>
        <v/>
      </c>
      <c r="J102" s="4" t="inlineStr"/>
      <c r="K102" s="4" t="inlineStr">
        <is>
          <t>A16</t>
        </is>
      </c>
    </row>
    <row r="103">
      <c r="A103" s="4" t="n">
        <v>99</v>
      </c>
      <c r="B103" s="4" t="inlineStr">
        <is>
          <t>Island_2_Induction_750</t>
        </is>
      </c>
      <c r="C103" s="4" t="inlineStr">
        <is>
          <t>Kick_DrawerFront</t>
        </is>
      </c>
      <c r="D103" s="5" t="n">
        <v>1</v>
      </c>
      <c r="E103" s="11" t="n">
        <v>747</v>
      </c>
      <c r="F103" s="11" t="n">
        <v>87</v>
      </c>
      <c r="G103" s="5" t="n">
        <v>18</v>
      </c>
      <c r="H103" s="4" t="inlineStr">
        <is>
          <t>PVC board 18 mm</t>
        </is>
      </c>
      <c r="I103" s="12">
        <f>D103*E103*F103/1000000</f>
        <v/>
      </c>
      <c r="J103" s="4" t="inlineStr"/>
      <c r="K103" s="4" t="inlineStr">
        <is>
          <t>A16</t>
        </is>
      </c>
    </row>
    <row r="104">
      <c r="A104" s="4" t="n">
        <v>100</v>
      </c>
      <c r="B104" s="4" t="inlineStr">
        <is>
          <t>Island_2_Induction_750</t>
        </is>
      </c>
      <c r="C104" s="4" t="inlineStr">
        <is>
          <t>Kick_Inner_Front</t>
        </is>
      </c>
      <c r="D104" s="5" t="n">
        <v>1</v>
      </c>
      <c r="E104" s="11" t="n">
        <v>653</v>
      </c>
      <c r="F104" s="11" t="n">
        <v>73</v>
      </c>
      <c r="G104" s="5" t="n">
        <v>18</v>
      </c>
      <c r="H104" s="4" t="inlineStr">
        <is>
          <t>PVC board 18 mm</t>
        </is>
      </c>
      <c r="I104" s="12">
        <f>D104*E104*F104/1000000</f>
        <v/>
      </c>
      <c r="J104" s="4" t="inlineStr"/>
      <c r="K104" s="4" t="inlineStr">
        <is>
          <t>A17</t>
        </is>
      </c>
    </row>
    <row r="105">
      <c r="A105" s="4" t="n">
        <v>101</v>
      </c>
      <c r="B105" s="4" t="inlineStr">
        <is>
          <t>Island_2_Induction_750</t>
        </is>
      </c>
      <c r="C105" s="4" t="inlineStr">
        <is>
          <t>Kick_Side_A</t>
        </is>
      </c>
      <c r="D105" s="5" t="n">
        <v>1</v>
      </c>
      <c r="E105" s="11" t="n">
        <v>400</v>
      </c>
      <c r="F105" s="11" t="n">
        <v>73</v>
      </c>
      <c r="G105" s="5" t="n">
        <v>18</v>
      </c>
      <c r="H105" s="4" t="inlineStr">
        <is>
          <t>PVC board 18 mm</t>
        </is>
      </c>
      <c r="I105" s="12">
        <f>D105*E105*F105/1000000</f>
        <v/>
      </c>
      <c r="J105" s="4" t="inlineStr"/>
      <c r="K105" s="4" t="inlineStr">
        <is>
          <t>A20</t>
        </is>
      </c>
    </row>
    <row r="106">
      <c r="A106" s="4" t="n">
        <v>102</v>
      </c>
      <c r="B106" s="4" t="inlineStr">
        <is>
          <t>Island_2_Induction_750</t>
        </is>
      </c>
      <c r="C106" s="4" t="inlineStr">
        <is>
          <t>Kick_Side_B</t>
        </is>
      </c>
      <c r="D106" s="5" t="n">
        <v>1</v>
      </c>
      <c r="E106" s="11" t="n">
        <v>400</v>
      </c>
      <c r="F106" s="11" t="n">
        <v>73</v>
      </c>
      <c r="G106" s="5" t="n">
        <v>18</v>
      </c>
      <c r="H106" s="4" t="inlineStr">
        <is>
          <t>PVC board 18 mm</t>
        </is>
      </c>
      <c r="I106" s="12">
        <f>D106*E106*F106/1000000</f>
        <v/>
      </c>
      <c r="J106" s="4" t="inlineStr"/>
      <c r="K106" s="4" t="inlineStr">
        <is>
          <t>A20</t>
        </is>
      </c>
    </row>
    <row r="107">
      <c r="A107" s="4" t="n">
        <v>103</v>
      </c>
      <c r="B107" s="4" t="inlineStr">
        <is>
          <t>Island_2_Induction_750</t>
        </is>
      </c>
      <c r="C107" s="4" t="inlineStr">
        <is>
          <t>Plinth_Back</t>
        </is>
      </c>
      <c r="D107" s="5" t="n">
        <v>1</v>
      </c>
      <c r="E107" s="11" t="n">
        <v>750</v>
      </c>
      <c r="F107" s="11" t="n">
        <v>100</v>
      </c>
      <c r="G107" s="5" t="n">
        <v>18</v>
      </c>
      <c r="H107" s="4" t="inlineStr">
        <is>
          <t>PVC board 18 mm</t>
        </is>
      </c>
      <c r="I107" s="12">
        <f>D107*E107*F107/1000000</f>
        <v/>
      </c>
      <c r="J107" s="4" t="inlineStr"/>
      <c r="K107" s="4" t="inlineStr">
        <is>
          <t>A1</t>
        </is>
      </c>
    </row>
    <row r="108">
      <c r="A108" s="4" t="n">
        <v>104</v>
      </c>
      <c r="B108" s="4" t="inlineStr">
        <is>
          <t>Island_2_Induction_750</t>
        </is>
      </c>
      <c r="C108" s="4" t="inlineStr">
        <is>
          <t>Plinth_Side_A</t>
        </is>
      </c>
      <c r="D108" s="5" t="n">
        <v>1</v>
      </c>
      <c r="E108" s="11" t="n">
        <v>454</v>
      </c>
      <c r="F108" s="11" t="n">
        <v>100</v>
      </c>
      <c r="G108" s="5" t="n">
        <v>18</v>
      </c>
      <c r="H108" s="4" t="inlineStr">
        <is>
          <t>PVC board 18 mm</t>
        </is>
      </c>
      <c r="I108" s="12">
        <f>D108*E108*F108/1000000</f>
        <v/>
      </c>
      <c r="J108" s="4" t="inlineStr"/>
      <c r="K108" s="4" t="inlineStr">
        <is>
          <t>A19</t>
        </is>
      </c>
    </row>
    <row r="109">
      <c r="A109" s="4" t="n">
        <v>105</v>
      </c>
      <c r="B109" s="4" t="inlineStr">
        <is>
          <t>Island_2_Induction_750</t>
        </is>
      </c>
      <c r="C109" s="4" t="inlineStr">
        <is>
          <t>Plinth_Side_B</t>
        </is>
      </c>
      <c r="D109" s="5" t="n">
        <v>1</v>
      </c>
      <c r="E109" s="11" t="n">
        <v>454</v>
      </c>
      <c r="F109" s="11" t="n">
        <v>100</v>
      </c>
      <c r="G109" s="5" t="n">
        <v>18</v>
      </c>
      <c r="H109" s="4" t="inlineStr">
        <is>
          <t>PVC board 18 mm</t>
        </is>
      </c>
      <c r="I109" s="12">
        <f>D109*E109*F109/1000000</f>
        <v/>
      </c>
      <c r="J109" s="4" t="inlineStr"/>
      <c r="K109" s="4" t="inlineStr">
        <is>
          <t>A19</t>
        </is>
      </c>
    </row>
    <row r="110">
      <c r="A110" s="4" t="n">
        <v>106</v>
      </c>
      <c r="B110" s="4" t="inlineStr">
        <is>
          <t>Island_2_Induction_750</t>
        </is>
      </c>
      <c r="C110" s="4" t="inlineStr">
        <is>
          <t>Side_A</t>
        </is>
      </c>
      <c r="D110" s="5" t="n">
        <v>1</v>
      </c>
      <c r="E110" s="11" t="n">
        <v>776</v>
      </c>
      <c r="F110" s="11" t="n">
        <v>574</v>
      </c>
      <c r="G110" s="5" t="n">
        <v>18</v>
      </c>
      <c r="H110" s="4" t="inlineStr">
        <is>
          <t>PVC board 18 mm</t>
        </is>
      </c>
      <c r="I110" s="12">
        <f>D110*E110*F110/1000000</f>
        <v/>
      </c>
      <c r="J110" s="4" t="inlineStr"/>
      <c r="K110" s="4" t="inlineStr">
        <is>
          <t>A15</t>
        </is>
      </c>
    </row>
    <row r="111">
      <c r="A111" s="4" t="n">
        <v>107</v>
      </c>
      <c r="B111" s="4" t="inlineStr">
        <is>
          <t>Island_2_Induction_750</t>
        </is>
      </c>
      <c r="C111" s="4" t="inlineStr">
        <is>
          <t>Side_B</t>
        </is>
      </c>
      <c r="D111" s="5" t="n">
        <v>1</v>
      </c>
      <c r="E111" s="11" t="n">
        <v>776</v>
      </c>
      <c r="F111" s="11" t="n">
        <v>574</v>
      </c>
      <c r="G111" s="5" t="n">
        <v>18</v>
      </c>
      <c r="H111" s="4" t="inlineStr">
        <is>
          <t>PVC board 18 mm</t>
        </is>
      </c>
      <c r="I111" s="12">
        <f>D111*E111*F111/1000000</f>
        <v/>
      </c>
      <c r="J111" s="4" t="inlineStr"/>
      <c r="K111" s="4" t="inlineStr">
        <is>
          <t>A15</t>
        </is>
      </c>
    </row>
    <row r="112">
      <c r="A112" s="4" t="n">
        <v>108</v>
      </c>
      <c r="B112" s="4" t="inlineStr">
        <is>
          <t>Island_2_Induction_750</t>
        </is>
      </c>
      <c r="C112" s="4" t="inlineStr">
        <is>
          <t>Stretcher_Back</t>
        </is>
      </c>
      <c r="D112" s="5" t="n">
        <v>1</v>
      </c>
      <c r="E112" s="11" t="n">
        <v>714</v>
      </c>
      <c r="F112" s="11" t="n">
        <v>100</v>
      </c>
      <c r="G112" s="5" t="n">
        <v>18</v>
      </c>
      <c r="H112" s="4" t="inlineStr">
        <is>
          <t>PVC board 18 mm</t>
        </is>
      </c>
      <c r="I112" s="12">
        <f>D112*E112*F112/1000000</f>
        <v/>
      </c>
      <c r="J112" s="4" t="inlineStr"/>
      <c r="K112" s="4" t="inlineStr">
        <is>
          <t>A2</t>
        </is>
      </c>
    </row>
    <row r="113">
      <c r="A113" s="4" t="n">
        <v>109</v>
      </c>
      <c r="B113" s="4" t="inlineStr">
        <is>
          <t>Island_2_Induction_750</t>
        </is>
      </c>
      <c r="C113" s="4" t="inlineStr">
        <is>
          <t>Stretcher_Front</t>
        </is>
      </c>
      <c r="D113" s="5" t="n">
        <v>1</v>
      </c>
      <c r="E113" s="11" t="n">
        <v>714</v>
      </c>
      <c r="F113" s="11" t="n">
        <v>100</v>
      </c>
      <c r="G113" s="5" t="n">
        <v>18</v>
      </c>
      <c r="H113" s="4" t="inlineStr">
        <is>
          <t>PVC board 18 mm</t>
        </is>
      </c>
      <c r="I113" s="12">
        <f>D113*E113*F113/1000000</f>
        <v/>
      </c>
      <c r="J113" s="4" t="inlineStr"/>
      <c r="K113" s="4" t="inlineStr">
        <is>
          <t>A16</t>
        </is>
      </c>
    </row>
    <row r="114">
      <c r="A114" s="4" t="n">
        <v>110</v>
      </c>
      <c r="B114" s="4" t="inlineStr">
        <is>
          <t>Island_3_Racks_450</t>
        </is>
      </c>
      <c r="C114" s="4" t="inlineStr">
        <is>
          <t>Back</t>
        </is>
      </c>
      <c r="D114" s="5" t="n">
        <v>1</v>
      </c>
      <c r="E114" s="11" t="n">
        <v>776</v>
      </c>
      <c r="F114" s="11" t="n">
        <v>450</v>
      </c>
      <c r="G114" s="5" t="n">
        <v>18</v>
      </c>
      <c r="H114" s="4" t="inlineStr">
        <is>
          <t>PVC board 18 mm</t>
        </is>
      </c>
      <c r="I114" s="12">
        <f>D114*E114*F114/1000000</f>
        <v/>
      </c>
      <c r="J114" s="4" t="inlineStr"/>
      <c r="K114" s="4" t="inlineStr">
        <is>
          <t>A10</t>
        </is>
      </c>
    </row>
    <row r="115">
      <c r="A115" s="4" t="n">
        <v>111</v>
      </c>
      <c r="B115" s="4" t="inlineStr">
        <is>
          <t>Island_3_Racks_450</t>
        </is>
      </c>
      <c r="C115" s="4" t="inlineStr">
        <is>
          <t>Bottom</t>
        </is>
      </c>
      <c r="D115" s="5" t="n">
        <v>1</v>
      </c>
      <c r="E115" s="11" t="n">
        <v>574</v>
      </c>
      <c r="F115" s="11" t="n">
        <v>414</v>
      </c>
      <c r="G115" s="5" t="n">
        <v>18</v>
      </c>
      <c r="H115" s="4" t="inlineStr">
        <is>
          <t>PVC board 18 mm</t>
        </is>
      </c>
      <c r="I115" s="12">
        <f>D115*E115*F115/1000000</f>
        <v/>
      </c>
      <c r="J115" s="4" t="inlineStr"/>
      <c r="K115" s="4" t="inlineStr">
        <is>
          <t>A18</t>
        </is>
      </c>
    </row>
    <row r="116">
      <c r="A116" s="4" t="n">
        <v>112</v>
      </c>
      <c r="B116" s="4" t="inlineStr">
        <is>
          <t>Island_3_Racks_450</t>
        </is>
      </c>
      <c r="C116" s="4" t="inlineStr">
        <is>
          <t>DrawerFront_1</t>
        </is>
      </c>
      <c r="D116" s="5" t="n">
        <v>1</v>
      </c>
      <c r="E116" s="11" t="n">
        <v>447</v>
      </c>
      <c r="F116" s="11" t="n">
        <v>307.4</v>
      </c>
      <c r="G116" s="5" t="n">
        <v>18</v>
      </c>
      <c r="H116" s="4" t="inlineStr">
        <is>
          <t>PVC board 18 mm</t>
        </is>
      </c>
      <c r="I116" s="12">
        <f>D116*E116*F116/1000000</f>
        <v/>
      </c>
      <c r="J116" s="4" t="inlineStr"/>
      <c r="K116" s="4" t="inlineStr">
        <is>
          <t>A19</t>
        </is>
      </c>
    </row>
    <row r="117">
      <c r="A117" s="4" t="n">
        <v>113</v>
      </c>
      <c r="B117" s="4" t="inlineStr">
        <is>
          <t>Island_3_Racks_450</t>
        </is>
      </c>
      <c r="C117" s="4" t="inlineStr">
        <is>
          <t>DrawerFront_2</t>
        </is>
      </c>
      <c r="D117" s="5" t="n">
        <v>1</v>
      </c>
      <c r="E117" s="11" t="n">
        <v>447</v>
      </c>
      <c r="F117" s="11" t="n">
        <v>268.6</v>
      </c>
      <c r="G117" s="5" t="n">
        <v>18</v>
      </c>
      <c r="H117" s="4" t="inlineStr">
        <is>
          <t>PVC board 18 mm</t>
        </is>
      </c>
      <c r="I117" s="12">
        <f>D117*E117*F117/1000000</f>
        <v/>
      </c>
      <c r="J117" s="4" t="inlineStr"/>
      <c r="K117" s="4" t="inlineStr">
        <is>
          <t>A19</t>
        </is>
      </c>
    </row>
    <row r="118">
      <c r="A118" s="4" t="n">
        <v>114</v>
      </c>
      <c r="B118" s="4" t="inlineStr">
        <is>
          <t>Island_3_Racks_450</t>
        </is>
      </c>
      <c r="C118" s="4" t="inlineStr">
        <is>
          <t>DrawerFront_3</t>
        </is>
      </c>
      <c r="D118" s="5" t="n">
        <v>1</v>
      </c>
      <c r="E118" s="11" t="n">
        <v>447</v>
      </c>
      <c r="F118" s="11" t="n">
        <v>191</v>
      </c>
      <c r="G118" s="5" t="n">
        <v>18</v>
      </c>
      <c r="H118" s="4" t="inlineStr">
        <is>
          <t>PVC board 18 mm</t>
        </is>
      </c>
      <c r="I118" s="12">
        <f>D118*E118*F118/1000000</f>
        <v/>
      </c>
      <c r="J118" s="4" t="inlineStr"/>
      <c r="K118" s="4" t="inlineStr">
        <is>
          <t>A1</t>
        </is>
      </c>
    </row>
    <row r="119">
      <c r="A119" s="4" t="n">
        <v>115</v>
      </c>
      <c r="B119" s="4" t="inlineStr">
        <is>
          <t>Island_3_Racks_450</t>
        </is>
      </c>
      <c r="C119" s="4" t="inlineStr">
        <is>
          <t>Kick_Back</t>
        </is>
      </c>
      <c r="D119" s="5" t="n">
        <v>1</v>
      </c>
      <c r="E119" s="11" t="n">
        <v>353</v>
      </c>
      <c r="F119" s="11" t="n">
        <v>73</v>
      </c>
      <c r="G119" s="5" t="n">
        <v>18</v>
      </c>
      <c r="H119" s="4" t="inlineStr">
        <is>
          <t>PVC board 18 mm</t>
        </is>
      </c>
      <c r="I119" s="12">
        <f>D119*E119*F119/1000000</f>
        <v/>
      </c>
      <c r="J119" s="4" t="inlineStr"/>
      <c r="K119" s="4" t="inlineStr">
        <is>
          <t>A20</t>
        </is>
      </c>
    </row>
    <row r="120">
      <c r="A120" s="4" t="n">
        <v>116</v>
      </c>
      <c r="B120" s="4" t="inlineStr">
        <is>
          <t>Island_3_Racks_450</t>
        </is>
      </c>
      <c r="C120" s="4" t="inlineStr">
        <is>
          <t>Kick_DrawerFront</t>
        </is>
      </c>
      <c r="D120" s="5" t="n">
        <v>1</v>
      </c>
      <c r="E120" s="11" t="n">
        <v>447</v>
      </c>
      <c r="F120" s="11" t="n">
        <v>87</v>
      </c>
      <c r="G120" s="5" t="n">
        <v>18</v>
      </c>
      <c r="H120" s="4" t="inlineStr">
        <is>
          <t>PVC board 18 mm</t>
        </is>
      </c>
      <c r="I120" s="12">
        <f>D120*E120*F120/1000000</f>
        <v/>
      </c>
      <c r="J120" s="4" t="inlineStr"/>
      <c r="K120" s="4" t="inlineStr">
        <is>
          <t>A19</t>
        </is>
      </c>
    </row>
    <row r="121">
      <c r="A121" s="4" t="n">
        <v>117</v>
      </c>
      <c r="B121" s="4" t="inlineStr">
        <is>
          <t>Island_3_Racks_450</t>
        </is>
      </c>
      <c r="C121" s="4" t="inlineStr">
        <is>
          <t>Kick_Inner_Front</t>
        </is>
      </c>
      <c r="D121" s="5" t="n">
        <v>1</v>
      </c>
      <c r="E121" s="11" t="n">
        <v>353</v>
      </c>
      <c r="F121" s="11" t="n">
        <v>73</v>
      </c>
      <c r="G121" s="5" t="n">
        <v>18</v>
      </c>
      <c r="H121" s="4" t="inlineStr">
        <is>
          <t>PVC board 18 mm</t>
        </is>
      </c>
      <c r="I121" s="12">
        <f>D121*E121*F121/1000000</f>
        <v/>
      </c>
      <c r="J121" s="4" t="inlineStr"/>
      <c r="K121" s="4" t="inlineStr">
        <is>
          <t>A20</t>
        </is>
      </c>
    </row>
    <row r="122">
      <c r="A122" s="4" t="n">
        <v>118</v>
      </c>
      <c r="B122" s="4" t="inlineStr">
        <is>
          <t>Island_3_Racks_450</t>
        </is>
      </c>
      <c r="C122" s="4" t="inlineStr">
        <is>
          <t>Kick_Side_A</t>
        </is>
      </c>
      <c r="D122" s="5" t="n">
        <v>1</v>
      </c>
      <c r="E122" s="11" t="n">
        <v>400</v>
      </c>
      <c r="F122" s="11" t="n">
        <v>73</v>
      </c>
      <c r="G122" s="5" t="n">
        <v>18</v>
      </c>
      <c r="H122" s="4" t="inlineStr">
        <is>
          <t>PVC board 18 mm</t>
        </is>
      </c>
      <c r="I122" s="12">
        <f>D122*E122*F122/1000000</f>
        <v/>
      </c>
      <c r="J122" s="4" t="inlineStr"/>
      <c r="K122" s="4" t="inlineStr">
        <is>
          <t>A20</t>
        </is>
      </c>
    </row>
    <row r="123">
      <c r="A123" s="4" t="n">
        <v>119</v>
      </c>
      <c r="B123" s="4" t="inlineStr">
        <is>
          <t>Island_3_Racks_450</t>
        </is>
      </c>
      <c r="C123" s="4" t="inlineStr">
        <is>
          <t>Kick_Side_B</t>
        </is>
      </c>
      <c r="D123" s="5" t="n">
        <v>1</v>
      </c>
      <c r="E123" s="11" t="n">
        <v>400</v>
      </c>
      <c r="F123" s="11" t="n">
        <v>73</v>
      </c>
      <c r="G123" s="5" t="n">
        <v>18</v>
      </c>
      <c r="H123" s="4" t="inlineStr">
        <is>
          <t>PVC board 18 mm</t>
        </is>
      </c>
      <c r="I123" s="12">
        <f>D123*E123*F123/1000000</f>
        <v/>
      </c>
      <c r="J123" s="4" t="inlineStr"/>
      <c r="K123" s="4" t="inlineStr">
        <is>
          <t>A20</t>
        </is>
      </c>
    </row>
    <row r="124">
      <c r="A124" s="4" t="n">
        <v>120</v>
      </c>
      <c r="B124" s="4" t="inlineStr">
        <is>
          <t>Island_3_Racks_450</t>
        </is>
      </c>
      <c r="C124" s="4" t="inlineStr">
        <is>
          <t>Plinth_Back</t>
        </is>
      </c>
      <c r="D124" s="5" t="n">
        <v>1</v>
      </c>
      <c r="E124" s="11" t="n">
        <v>450</v>
      </c>
      <c r="F124" s="11" t="n">
        <v>100</v>
      </c>
      <c r="G124" s="5" t="n">
        <v>18</v>
      </c>
      <c r="H124" s="4" t="inlineStr">
        <is>
          <t>PVC board 18 mm</t>
        </is>
      </c>
      <c r="I124" s="12">
        <f>D124*E124*F124/1000000</f>
        <v/>
      </c>
      <c r="J124" s="4" t="inlineStr"/>
      <c r="K124" s="4" t="inlineStr">
        <is>
          <t>A19</t>
        </is>
      </c>
    </row>
    <row r="125">
      <c r="A125" s="4" t="n">
        <v>121</v>
      </c>
      <c r="B125" s="4" t="inlineStr">
        <is>
          <t>Island_3_Racks_450</t>
        </is>
      </c>
      <c r="C125" s="4" t="inlineStr">
        <is>
          <t>Plinth_Side_A</t>
        </is>
      </c>
      <c r="D125" s="5" t="n">
        <v>1</v>
      </c>
      <c r="E125" s="11" t="n">
        <v>454</v>
      </c>
      <c r="F125" s="11" t="n">
        <v>100</v>
      </c>
      <c r="G125" s="5" t="n">
        <v>18</v>
      </c>
      <c r="H125" s="4" t="inlineStr">
        <is>
          <t>PVC board 18 mm</t>
        </is>
      </c>
      <c r="I125" s="12">
        <f>D125*E125*F125/1000000</f>
        <v/>
      </c>
      <c r="J125" s="4" t="inlineStr"/>
      <c r="K125" s="4" t="inlineStr">
        <is>
          <t>A1</t>
        </is>
      </c>
    </row>
    <row r="126">
      <c r="A126" s="4" t="n">
        <v>122</v>
      </c>
      <c r="B126" s="4" t="inlineStr">
        <is>
          <t>Island_3_Racks_450</t>
        </is>
      </c>
      <c r="C126" s="4" t="inlineStr">
        <is>
          <t>Plinth_Side_B</t>
        </is>
      </c>
      <c r="D126" s="5" t="n">
        <v>1</v>
      </c>
      <c r="E126" s="11" t="n">
        <v>454</v>
      </c>
      <c r="F126" s="11" t="n">
        <v>100</v>
      </c>
      <c r="G126" s="5" t="n">
        <v>18</v>
      </c>
      <c r="H126" s="4" t="inlineStr">
        <is>
          <t>PVC board 18 mm</t>
        </is>
      </c>
      <c r="I126" s="12">
        <f>D126*E126*F126/1000000</f>
        <v/>
      </c>
      <c r="J126" s="4" t="inlineStr"/>
      <c r="K126" s="4" t="inlineStr">
        <is>
          <t>A1</t>
        </is>
      </c>
    </row>
    <row r="127">
      <c r="A127" s="4" t="n">
        <v>123</v>
      </c>
      <c r="B127" s="4" t="inlineStr">
        <is>
          <t>Island_3_Racks_450</t>
        </is>
      </c>
      <c r="C127" s="4" t="inlineStr">
        <is>
          <t>Side_A</t>
        </is>
      </c>
      <c r="D127" s="5" t="n">
        <v>1</v>
      </c>
      <c r="E127" s="11" t="n">
        <v>776</v>
      </c>
      <c r="F127" s="11" t="n">
        <v>574</v>
      </c>
      <c r="G127" s="5" t="n">
        <v>18</v>
      </c>
      <c r="H127" s="4" t="inlineStr">
        <is>
          <t>PVC board 18 mm</t>
        </is>
      </c>
      <c r="I127" s="12">
        <f>D127*E127*F127/1000000</f>
        <v/>
      </c>
      <c r="J127" s="4" t="inlineStr"/>
      <c r="K127" s="4" t="inlineStr">
        <is>
          <t>A15</t>
        </is>
      </c>
    </row>
    <row r="128">
      <c r="A128" s="4" t="n">
        <v>124</v>
      </c>
      <c r="B128" s="4" t="inlineStr">
        <is>
          <t>Island_3_Racks_450</t>
        </is>
      </c>
      <c r="C128" s="4" t="inlineStr">
        <is>
          <t>Side_B</t>
        </is>
      </c>
      <c r="D128" s="5" t="n">
        <v>1</v>
      </c>
      <c r="E128" s="11" t="n">
        <v>776</v>
      </c>
      <c r="F128" s="11" t="n">
        <v>574</v>
      </c>
      <c r="G128" s="5" t="n">
        <v>18</v>
      </c>
      <c r="H128" s="4" t="inlineStr">
        <is>
          <t>PVC board 18 mm</t>
        </is>
      </c>
      <c r="I128" s="12">
        <f>D128*E128*F128/1000000</f>
        <v/>
      </c>
      <c r="J128" s="4" t="inlineStr"/>
      <c r="K128" s="4" t="inlineStr">
        <is>
          <t>A16</t>
        </is>
      </c>
    </row>
    <row r="129">
      <c r="A129" s="4" t="n">
        <v>125</v>
      </c>
      <c r="B129" s="4" t="inlineStr">
        <is>
          <t>Island_3_Racks_450</t>
        </is>
      </c>
      <c r="C129" s="4" t="inlineStr">
        <is>
          <t>Stretcher_Back</t>
        </is>
      </c>
      <c r="D129" s="5" t="n">
        <v>1</v>
      </c>
      <c r="E129" s="11" t="n">
        <v>414</v>
      </c>
      <c r="F129" s="11" t="n">
        <v>100</v>
      </c>
      <c r="G129" s="5" t="n">
        <v>18</v>
      </c>
      <c r="H129" s="4" t="inlineStr">
        <is>
          <t>PVC board 18 mm</t>
        </is>
      </c>
      <c r="I129" s="12">
        <f>D129*E129*F129/1000000</f>
        <v/>
      </c>
      <c r="J129" s="4" t="inlineStr"/>
      <c r="K129" s="4" t="inlineStr">
        <is>
          <t>A1</t>
        </is>
      </c>
    </row>
    <row r="130">
      <c r="A130" s="4" t="n">
        <v>126</v>
      </c>
      <c r="B130" s="4" t="inlineStr">
        <is>
          <t>Island_3_Racks_450</t>
        </is>
      </c>
      <c r="C130" s="4" t="inlineStr">
        <is>
          <t>Stretcher_Front</t>
        </is>
      </c>
      <c r="D130" s="5" t="n">
        <v>1</v>
      </c>
      <c r="E130" s="11" t="n">
        <v>414</v>
      </c>
      <c r="F130" s="11" t="n">
        <v>100</v>
      </c>
      <c r="G130" s="5" t="n">
        <v>18</v>
      </c>
      <c r="H130" s="4" t="inlineStr">
        <is>
          <t>PVC board 18 mm</t>
        </is>
      </c>
      <c r="I130" s="12">
        <f>D130*E130*F130/1000000</f>
        <v/>
      </c>
      <c r="J130" s="4" t="inlineStr"/>
      <c r="K130" s="4" t="inlineStr">
        <is>
          <t>A1</t>
        </is>
      </c>
    </row>
    <row r="131">
      <c r="A131" s="4" t="n">
        <v>127</v>
      </c>
      <c r="B131" s="4" t="inlineStr">
        <is>
          <t>Over_Ref_Cabinet</t>
        </is>
      </c>
      <c r="C131" s="4" t="inlineStr">
        <is>
          <t>Back</t>
        </is>
      </c>
      <c r="D131" s="5" t="n">
        <v>1</v>
      </c>
      <c r="E131" s="11" t="n">
        <v>950</v>
      </c>
      <c r="F131" s="11" t="n">
        <v>457</v>
      </c>
      <c r="G131" s="5" t="n">
        <v>18</v>
      </c>
      <c r="H131" s="4" t="inlineStr">
        <is>
          <t>PVC board 18 mm</t>
        </is>
      </c>
      <c r="I131" s="12">
        <f>D131*E131*F131/1000000</f>
        <v/>
      </c>
      <c r="J131" s="4" t="inlineStr">
        <is>
          <t>notched for pipe - see model</t>
        </is>
      </c>
      <c r="K131" s="4" t="inlineStr">
        <is>
          <t>A4</t>
        </is>
      </c>
    </row>
    <row r="132">
      <c r="A132" s="4" t="n">
        <v>128</v>
      </c>
      <c r="B132" s="4" t="inlineStr">
        <is>
          <t>Over_Ref_Cabinet</t>
        </is>
      </c>
      <c r="C132" s="4" t="inlineStr">
        <is>
          <t>Bottom</t>
        </is>
      </c>
      <c r="D132" s="5" t="n">
        <v>1</v>
      </c>
      <c r="E132" s="11" t="n">
        <v>914</v>
      </c>
      <c r="F132" s="11" t="n">
        <v>748</v>
      </c>
      <c r="G132" s="5" t="n">
        <v>18</v>
      </c>
      <c r="H132" s="4" t="inlineStr">
        <is>
          <t>PVC board 18 mm</t>
        </is>
      </c>
      <c r="I132" s="12">
        <f>D132*E132*F132/1000000</f>
        <v/>
      </c>
      <c r="J132" s="4" t="inlineStr">
        <is>
          <t>notched for pipe - see model</t>
        </is>
      </c>
      <c r="K132" s="4" t="inlineStr">
        <is>
          <t>A5</t>
        </is>
      </c>
    </row>
    <row r="133">
      <c r="A133" s="4" t="n">
        <v>129</v>
      </c>
      <c r="B133" s="4" t="inlineStr">
        <is>
          <t>Over_Ref_Cabinet</t>
        </is>
      </c>
      <c r="C133" s="4" t="inlineStr">
        <is>
          <t>Door_1</t>
        </is>
      </c>
      <c r="D133" s="5" t="n">
        <v>1</v>
      </c>
      <c r="E133" s="11" t="n">
        <v>472</v>
      </c>
      <c r="F133" s="11" t="n">
        <v>454</v>
      </c>
      <c r="G133" s="5" t="n">
        <v>18</v>
      </c>
      <c r="H133" s="4" t="inlineStr">
        <is>
          <t>PVC board 18 mm</t>
        </is>
      </c>
      <c r="I133" s="12">
        <f>D133*E133*F133/1000000</f>
        <v/>
      </c>
      <c r="J133" s="4" t="inlineStr"/>
      <c r="K133" s="4" t="inlineStr">
        <is>
          <t>A19</t>
        </is>
      </c>
    </row>
    <row r="134">
      <c r="A134" s="4" t="n">
        <v>130</v>
      </c>
      <c r="B134" s="4" t="inlineStr">
        <is>
          <t>Over_Ref_Cabinet</t>
        </is>
      </c>
      <c r="C134" s="4" t="inlineStr">
        <is>
          <t>Door_2</t>
        </is>
      </c>
      <c r="D134" s="5" t="n">
        <v>1</v>
      </c>
      <c r="E134" s="11" t="n">
        <v>472</v>
      </c>
      <c r="F134" s="11" t="n">
        <v>454</v>
      </c>
      <c r="G134" s="5" t="n">
        <v>18</v>
      </c>
      <c r="H134" s="4" t="inlineStr">
        <is>
          <t>PVC board 18 mm</t>
        </is>
      </c>
      <c r="I134" s="12">
        <f>D134*E134*F134/1000000</f>
        <v/>
      </c>
      <c r="J134" s="4" t="inlineStr"/>
      <c r="K134" s="4" t="inlineStr">
        <is>
          <t>A19</t>
        </is>
      </c>
    </row>
    <row r="135">
      <c r="A135" s="4" t="n">
        <v>131</v>
      </c>
      <c r="B135" s="4" t="inlineStr">
        <is>
          <t>Over_Ref_Cabinet</t>
        </is>
      </c>
      <c r="C135" s="4" t="inlineStr">
        <is>
          <t>Pipe_Chase_Front</t>
        </is>
      </c>
      <c r="D135" s="5" t="n">
        <v>1</v>
      </c>
      <c r="E135" s="11" t="n">
        <v>457</v>
      </c>
      <c r="F135" s="11" t="n">
        <v>122</v>
      </c>
      <c r="G135" s="5" t="n">
        <v>18</v>
      </c>
      <c r="H135" s="4" t="inlineStr">
        <is>
          <t>PVC board 18 mm</t>
        </is>
      </c>
      <c r="I135" s="12">
        <f>D135*E135*F135/1000000</f>
        <v/>
      </c>
      <c r="J135" s="4" t="inlineStr"/>
      <c r="K135" s="4" t="inlineStr">
        <is>
          <t>A2</t>
        </is>
      </c>
    </row>
    <row r="136">
      <c r="A136" s="4" t="n">
        <v>132</v>
      </c>
      <c r="B136" s="4" t="inlineStr">
        <is>
          <t>Over_Ref_Cabinet</t>
        </is>
      </c>
      <c r="C136" s="4" t="inlineStr">
        <is>
          <t>Pipe_Chase_Side</t>
        </is>
      </c>
      <c r="D136" s="5" t="n">
        <v>1</v>
      </c>
      <c r="E136" s="11" t="n">
        <v>457</v>
      </c>
      <c r="F136" s="11" t="n">
        <v>124</v>
      </c>
      <c r="G136" s="5" t="n">
        <v>18</v>
      </c>
      <c r="H136" s="4" t="inlineStr">
        <is>
          <t>PVC board 18 mm</t>
        </is>
      </c>
      <c r="I136" s="12">
        <f>D136*E136*F136/1000000</f>
        <v/>
      </c>
      <c r="J136" s="4" t="inlineStr"/>
      <c r="K136" s="4" t="inlineStr">
        <is>
          <t>A18</t>
        </is>
      </c>
    </row>
    <row r="137">
      <c r="A137" s="4" t="n">
        <v>133</v>
      </c>
      <c r="B137" s="4" t="inlineStr">
        <is>
          <t>Over_Ref_Cabinet</t>
        </is>
      </c>
      <c r="C137" s="4" t="inlineStr">
        <is>
          <t>Shelf_1</t>
        </is>
      </c>
      <c r="D137" s="5" t="n">
        <v>1</v>
      </c>
      <c r="E137" s="11" t="n">
        <v>914</v>
      </c>
      <c r="F137" s="11" t="n">
        <v>710</v>
      </c>
      <c r="G137" s="5" t="n">
        <v>18</v>
      </c>
      <c r="H137" s="4" t="inlineStr">
        <is>
          <t>PVC board 18 mm</t>
        </is>
      </c>
      <c r="I137" s="12">
        <f>D137*E137*F137/1000000</f>
        <v/>
      </c>
      <c r="J137" s="4" t="inlineStr">
        <is>
          <t>notched for pipe - see model</t>
        </is>
      </c>
      <c r="K137" s="4" t="inlineStr">
        <is>
          <t>A7</t>
        </is>
      </c>
    </row>
    <row r="138">
      <c r="A138" s="4" t="n">
        <v>134</v>
      </c>
      <c r="B138" s="4" t="inlineStr">
        <is>
          <t>Over_Ref_Cabinet</t>
        </is>
      </c>
      <c r="C138" s="4" t="inlineStr">
        <is>
          <t>Side_A</t>
        </is>
      </c>
      <c r="D138" s="5" t="n">
        <v>1</v>
      </c>
      <c r="E138" s="11" t="n">
        <v>748</v>
      </c>
      <c r="F138" s="11" t="n">
        <v>457</v>
      </c>
      <c r="G138" s="5" t="n">
        <v>18</v>
      </c>
      <c r="H138" s="4" t="inlineStr">
        <is>
          <t>PVC board 18 mm</t>
        </is>
      </c>
      <c r="I138" s="12">
        <f>D138*E138*F138/1000000</f>
        <v/>
      </c>
      <c r="J138" s="4" t="inlineStr">
        <is>
          <t>notched for pipe - see model</t>
        </is>
      </c>
      <c r="K138" s="4" t="inlineStr">
        <is>
          <t>A9</t>
        </is>
      </c>
    </row>
    <row r="139">
      <c r="A139" s="4" t="n">
        <v>135</v>
      </c>
      <c r="B139" s="4" t="inlineStr">
        <is>
          <t>Over_Ref_Cabinet</t>
        </is>
      </c>
      <c r="C139" s="4" t="inlineStr">
        <is>
          <t>Side_B</t>
        </is>
      </c>
      <c r="D139" s="5" t="n">
        <v>1</v>
      </c>
      <c r="E139" s="11" t="n">
        <v>748</v>
      </c>
      <c r="F139" s="11" t="n">
        <v>457</v>
      </c>
      <c r="G139" s="5" t="n">
        <v>18</v>
      </c>
      <c r="H139" s="4" t="inlineStr">
        <is>
          <t>PVC board 18 mm</t>
        </is>
      </c>
      <c r="I139" s="12">
        <f>D139*E139*F139/1000000</f>
        <v/>
      </c>
      <c r="J139" s="4" t="inlineStr"/>
      <c r="K139" s="4" t="inlineStr">
        <is>
          <t>A16</t>
        </is>
      </c>
    </row>
    <row r="140">
      <c r="A140" s="4" t="n">
        <v>136</v>
      </c>
      <c r="B140" s="4" t="inlineStr">
        <is>
          <t>Over_Ref_Cabinet</t>
        </is>
      </c>
      <c r="C140" s="4" t="inlineStr">
        <is>
          <t>Top</t>
        </is>
      </c>
      <c r="D140" s="5" t="n">
        <v>1</v>
      </c>
      <c r="E140" s="11" t="n">
        <v>914</v>
      </c>
      <c r="F140" s="11" t="n">
        <v>748</v>
      </c>
      <c r="G140" s="5" t="n">
        <v>18</v>
      </c>
      <c r="H140" s="4" t="inlineStr">
        <is>
          <t>PVC board 18 mm</t>
        </is>
      </c>
      <c r="I140" s="12">
        <f>D140*E140*F140/1000000</f>
        <v/>
      </c>
      <c r="J140" s="4" t="inlineStr">
        <is>
          <t>notched for pipe - see model</t>
        </is>
      </c>
      <c r="K140" s="4" t="inlineStr">
        <is>
          <t>A7</t>
        </is>
      </c>
    </row>
    <row r="141">
      <c r="A141" s="4" t="n">
        <v>137</v>
      </c>
      <c r="B141" s="4" t="inlineStr">
        <is>
          <t>Pantry</t>
        </is>
      </c>
      <c r="C141" s="4" t="inlineStr">
        <is>
          <t>Filler_Pantry</t>
        </is>
      </c>
      <c r="D141" s="5" t="n">
        <v>1</v>
      </c>
      <c r="E141" s="11" t="n">
        <v>2186</v>
      </c>
      <c r="F141" s="11" t="n">
        <v>47.2</v>
      </c>
      <c r="G141" s="5" t="n">
        <v>18</v>
      </c>
      <c r="H141" s="4" t="inlineStr">
        <is>
          <t>PVC board 18 mm</t>
        </is>
      </c>
      <c r="I141" s="12">
        <f>D141*E141*F141/1000000</f>
        <v/>
      </c>
      <c r="J141" s="4" t="inlineStr"/>
      <c r="K141" s="4" t="inlineStr">
        <is>
          <t>A1</t>
        </is>
      </c>
    </row>
    <row r="142">
      <c r="A142" s="4" t="n">
        <v>138</v>
      </c>
      <c r="B142" s="4" t="inlineStr">
        <is>
          <t>Pantry</t>
        </is>
      </c>
      <c r="C142" s="4" t="inlineStr">
        <is>
          <t>Filler_Pantry_Plinth</t>
        </is>
      </c>
      <c r="D142" s="5" t="n">
        <v>1</v>
      </c>
      <c r="E142" s="11" t="n">
        <v>100</v>
      </c>
      <c r="F142" s="11" t="n">
        <v>47.2</v>
      </c>
      <c r="G142" s="5" t="n">
        <v>18</v>
      </c>
      <c r="H142" s="4" t="inlineStr">
        <is>
          <t>PVC board 18 mm</t>
        </is>
      </c>
      <c r="I142" s="12">
        <f>D142*E142*F142/1000000</f>
        <v/>
      </c>
      <c r="J142" s="4" t="inlineStr"/>
      <c r="K142" s="4" t="inlineStr">
        <is>
          <t>A16</t>
        </is>
      </c>
    </row>
    <row r="143">
      <c r="A143" s="4" t="n">
        <v>139</v>
      </c>
      <c r="B143" s="4" t="inlineStr">
        <is>
          <t>Pantry_600</t>
        </is>
      </c>
      <c r="C143" s="4" t="inlineStr">
        <is>
          <t>Back</t>
        </is>
      </c>
      <c r="D143" s="5" t="n">
        <v>1</v>
      </c>
      <c r="E143" s="11" t="n">
        <v>2186</v>
      </c>
      <c r="F143" s="11" t="n">
        <v>600</v>
      </c>
      <c r="G143" s="5" t="n">
        <v>18</v>
      </c>
      <c r="H143" s="4" t="inlineStr">
        <is>
          <t>PVC board 18 mm</t>
        </is>
      </c>
      <c r="I143" s="12">
        <f>D143*E143*F143/1000000</f>
        <v/>
      </c>
      <c r="J143" s="4" t="inlineStr"/>
      <c r="K143" s="4" t="inlineStr">
        <is>
          <t>A3</t>
        </is>
      </c>
    </row>
    <row r="144">
      <c r="A144" s="4" t="n">
        <v>140</v>
      </c>
      <c r="B144" s="4" t="inlineStr">
        <is>
          <t>Pantry_600</t>
        </is>
      </c>
      <c r="C144" s="4" t="inlineStr">
        <is>
          <t>Bottom</t>
        </is>
      </c>
      <c r="D144" s="5" t="n">
        <v>1</v>
      </c>
      <c r="E144" s="11" t="n">
        <v>574</v>
      </c>
      <c r="F144" s="11" t="n">
        <v>564</v>
      </c>
      <c r="G144" s="5" t="n">
        <v>18</v>
      </c>
      <c r="H144" s="4" t="inlineStr">
        <is>
          <t>PVC board 18 mm</t>
        </is>
      </c>
      <c r="I144" s="12">
        <f>D144*E144*F144/1000000</f>
        <v/>
      </c>
      <c r="J144" s="4" t="inlineStr"/>
      <c r="K144" s="4" t="inlineStr">
        <is>
          <t>A17</t>
        </is>
      </c>
    </row>
    <row r="145">
      <c r="A145" s="4" t="n">
        <v>141</v>
      </c>
      <c r="B145" s="4" t="inlineStr">
        <is>
          <t>Pantry_600</t>
        </is>
      </c>
      <c r="C145" s="4" t="inlineStr">
        <is>
          <t>Door_Lower</t>
        </is>
      </c>
      <c r="D145" s="5" t="n">
        <v>1</v>
      </c>
      <c r="E145" s="11" t="n">
        <v>1269</v>
      </c>
      <c r="F145" s="11" t="n">
        <v>597</v>
      </c>
      <c r="G145" s="5" t="n">
        <v>18</v>
      </c>
      <c r="H145" s="4" t="inlineStr">
        <is>
          <t>PVC board 18 mm</t>
        </is>
      </c>
      <c r="I145" s="12">
        <f>D145*E145*F145/1000000</f>
        <v/>
      </c>
      <c r="J145" s="4" t="inlineStr"/>
      <c r="K145" s="4" t="inlineStr">
        <is>
          <t>A4</t>
        </is>
      </c>
    </row>
    <row r="146">
      <c r="A146" s="4" t="n">
        <v>142</v>
      </c>
      <c r="B146" s="4" t="inlineStr">
        <is>
          <t>Pantry_600</t>
        </is>
      </c>
      <c r="C146" s="4" t="inlineStr">
        <is>
          <t>Door_Upper</t>
        </is>
      </c>
      <c r="D146" s="5" t="n">
        <v>1</v>
      </c>
      <c r="E146" s="11" t="n">
        <v>911</v>
      </c>
      <c r="F146" s="11" t="n">
        <v>597</v>
      </c>
      <c r="G146" s="5" t="n">
        <v>18</v>
      </c>
      <c r="H146" s="4" t="inlineStr">
        <is>
          <t>PVC board 18 mm</t>
        </is>
      </c>
      <c r="I146" s="12">
        <f>D146*E146*F146/1000000</f>
        <v/>
      </c>
      <c r="J146" s="4" t="inlineStr"/>
      <c r="K146" s="4" t="inlineStr">
        <is>
          <t>A9</t>
        </is>
      </c>
    </row>
    <row r="147">
      <c r="A147" s="4" t="n">
        <v>143</v>
      </c>
      <c r="B147" s="4" t="inlineStr">
        <is>
          <t>Pantry_600</t>
        </is>
      </c>
      <c r="C147" s="4" t="inlineStr">
        <is>
          <t>Kick_Back</t>
        </is>
      </c>
      <c r="D147" s="5" t="n">
        <v>1</v>
      </c>
      <c r="E147" s="11" t="n">
        <v>503</v>
      </c>
      <c r="F147" s="11" t="n">
        <v>73</v>
      </c>
      <c r="G147" s="5" t="n">
        <v>18</v>
      </c>
      <c r="H147" s="4" t="inlineStr">
        <is>
          <t>PVC board 18 mm</t>
        </is>
      </c>
      <c r="I147" s="12">
        <f>D147*E147*F147/1000000</f>
        <v/>
      </c>
      <c r="J147" s="4" t="inlineStr"/>
      <c r="K147" s="4" t="inlineStr">
        <is>
          <t>A15</t>
        </is>
      </c>
    </row>
    <row r="148">
      <c r="A148" s="4" t="n">
        <v>144</v>
      </c>
      <c r="B148" s="4" t="inlineStr">
        <is>
          <t>Pantry_600</t>
        </is>
      </c>
      <c r="C148" s="4" t="inlineStr">
        <is>
          <t>Kick_DrawerFront</t>
        </is>
      </c>
      <c r="D148" s="5" t="n">
        <v>1</v>
      </c>
      <c r="E148" s="11" t="n">
        <v>597</v>
      </c>
      <c r="F148" s="11" t="n">
        <v>87</v>
      </c>
      <c r="G148" s="5" t="n">
        <v>18</v>
      </c>
      <c r="H148" s="4" t="inlineStr">
        <is>
          <t>PVC board 18 mm</t>
        </is>
      </c>
      <c r="I148" s="12">
        <f>D148*E148*F148/1000000</f>
        <v/>
      </c>
      <c r="J148" s="4" t="inlineStr"/>
      <c r="K148" s="4" t="inlineStr">
        <is>
          <t>A15</t>
        </is>
      </c>
    </row>
    <row r="149">
      <c r="A149" s="4" t="n">
        <v>145</v>
      </c>
      <c r="B149" s="4" t="inlineStr">
        <is>
          <t>Pantry_600</t>
        </is>
      </c>
      <c r="C149" s="4" t="inlineStr">
        <is>
          <t>Kick_Inner_Front</t>
        </is>
      </c>
      <c r="D149" s="5" t="n">
        <v>1</v>
      </c>
      <c r="E149" s="11" t="n">
        <v>503</v>
      </c>
      <c r="F149" s="11" t="n">
        <v>73</v>
      </c>
      <c r="G149" s="5" t="n">
        <v>18</v>
      </c>
      <c r="H149" s="4" t="inlineStr">
        <is>
          <t>PVC board 18 mm</t>
        </is>
      </c>
      <c r="I149" s="12">
        <f>D149*E149*F149/1000000</f>
        <v/>
      </c>
      <c r="J149" s="4" t="inlineStr"/>
      <c r="K149" s="4" t="inlineStr">
        <is>
          <t>A19</t>
        </is>
      </c>
    </row>
    <row r="150">
      <c r="A150" s="4" t="n">
        <v>146</v>
      </c>
      <c r="B150" s="4" t="inlineStr">
        <is>
          <t>Pantry_600</t>
        </is>
      </c>
      <c r="C150" s="4" t="inlineStr">
        <is>
          <t>Kick_Side_A</t>
        </is>
      </c>
      <c r="D150" s="5" t="n">
        <v>1</v>
      </c>
      <c r="E150" s="11" t="n">
        <v>400</v>
      </c>
      <c r="F150" s="11" t="n">
        <v>73</v>
      </c>
      <c r="G150" s="5" t="n">
        <v>18</v>
      </c>
      <c r="H150" s="4" t="inlineStr">
        <is>
          <t>PVC board 18 mm</t>
        </is>
      </c>
      <c r="I150" s="12">
        <f>D150*E150*F150/1000000</f>
        <v/>
      </c>
      <c r="J150" s="4" t="inlineStr"/>
      <c r="K150" s="4" t="inlineStr">
        <is>
          <t>A20</t>
        </is>
      </c>
    </row>
    <row r="151">
      <c r="A151" s="4" t="n">
        <v>147</v>
      </c>
      <c r="B151" s="4" t="inlineStr">
        <is>
          <t>Pantry_600</t>
        </is>
      </c>
      <c r="C151" s="4" t="inlineStr">
        <is>
          <t>Kick_Side_B</t>
        </is>
      </c>
      <c r="D151" s="5" t="n">
        <v>1</v>
      </c>
      <c r="E151" s="11" t="n">
        <v>400</v>
      </c>
      <c r="F151" s="11" t="n">
        <v>73</v>
      </c>
      <c r="G151" s="5" t="n">
        <v>18</v>
      </c>
      <c r="H151" s="4" t="inlineStr">
        <is>
          <t>PVC board 18 mm</t>
        </is>
      </c>
      <c r="I151" s="12">
        <f>D151*E151*F151/1000000</f>
        <v/>
      </c>
      <c r="J151" s="4" t="inlineStr"/>
      <c r="K151" s="4" t="inlineStr">
        <is>
          <t>A20</t>
        </is>
      </c>
    </row>
    <row r="152">
      <c r="A152" s="4" t="n">
        <v>148</v>
      </c>
      <c r="B152" s="4" t="inlineStr">
        <is>
          <t>Pantry_600</t>
        </is>
      </c>
      <c r="C152" s="4" t="inlineStr">
        <is>
          <t>Plinth_Back</t>
        </is>
      </c>
      <c r="D152" s="5" t="n">
        <v>1</v>
      </c>
      <c r="E152" s="11" t="n">
        <v>600</v>
      </c>
      <c r="F152" s="11" t="n">
        <v>100</v>
      </c>
      <c r="G152" s="5" t="n">
        <v>18</v>
      </c>
      <c r="H152" s="4" t="inlineStr">
        <is>
          <t>PVC board 18 mm</t>
        </is>
      </c>
      <c r="I152" s="12">
        <f>D152*E152*F152/1000000</f>
        <v/>
      </c>
      <c r="J152" s="4" t="inlineStr"/>
      <c r="K152" s="4" t="inlineStr">
        <is>
          <t>A3</t>
        </is>
      </c>
    </row>
    <row r="153">
      <c r="A153" s="4" t="n">
        <v>149</v>
      </c>
      <c r="B153" s="4" t="inlineStr">
        <is>
          <t>Pantry_600</t>
        </is>
      </c>
      <c r="C153" s="4" t="inlineStr">
        <is>
          <t>Plinth_Side_A</t>
        </is>
      </c>
      <c r="D153" s="5" t="n">
        <v>1</v>
      </c>
      <c r="E153" s="11" t="n">
        <v>454</v>
      </c>
      <c r="F153" s="11" t="n">
        <v>100</v>
      </c>
      <c r="G153" s="5" t="n">
        <v>18</v>
      </c>
      <c r="H153" s="4" t="inlineStr">
        <is>
          <t>PVC board 18 mm</t>
        </is>
      </c>
      <c r="I153" s="12">
        <f>D153*E153*F153/1000000</f>
        <v/>
      </c>
      <c r="J153" s="4" t="inlineStr"/>
      <c r="K153" s="4" t="inlineStr">
        <is>
          <t>A1</t>
        </is>
      </c>
    </row>
    <row r="154">
      <c r="A154" s="4" t="n">
        <v>150</v>
      </c>
      <c r="B154" s="4" t="inlineStr">
        <is>
          <t>Pantry_600</t>
        </is>
      </c>
      <c r="C154" s="4" t="inlineStr">
        <is>
          <t>Plinth_Side_B</t>
        </is>
      </c>
      <c r="D154" s="5" t="n">
        <v>1</v>
      </c>
      <c r="E154" s="11" t="n">
        <v>454</v>
      </c>
      <c r="F154" s="11" t="n">
        <v>100</v>
      </c>
      <c r="G154" s="5" t="n">
        <v>18</v>
      </c>
      <c r="H154" s="4" t="inlineStr">
        <is>
          <t>PVC board 18 mm</t>
        </is>
      </c>
      <c r="I154" s="12">
        <f>D154*E154*F154/1000000</f>
        <v/>
      </c>
      <c r="J154" s="4" t="inlineStr"/>
      <c r="K154" s="4" t="inlineStr">
        <is>
          <t>A19</t>
        </is>
      </c>
    </row>
    <row r="155">
      <c r="A155" s="4" t="n">
        <v>151</v>
      </c>
      <c r="B155" s="4" t="inlineStr">
        <is>
          <t>Pantry_600</t>
        </is>
      </c>
      <c r="C155" s="4" t="inlineStr">
        <is>
          <t>Shelf_1</t>
        </is>
      </c>
      <c r="D155" s="5" t="n">
        <v>1</v>
      </c>
      <c r="E155" s="11" t="n">
        <v>564</v>
      </c>
      <c r="F155" s="11" t="n">
        <v>536</v>
      </c>
      <c r="G155" s="5" t="n">
        <v>18</v>
      </c>
      <c r="H155" s="4" t="inlineStr">
        <is>
          <t>PVC board 18 mm</t>
        </is>
      </c>
      <c r="I155" s="12">
        <f>D155*E155*F155/1000000</f>
        <v/>
      </c>
      <c r="J155" s="4" t="inlineStr"/>
      <c r="K155" s="4" t="inlineStr">
        <is>
          <t>A18</t>
        </is>
      </c>
    </row>
    <row r="156">
      <c r="A156" s="4" t="n">
        <v>152</v>
      </c>
      <c r="B156" s="4" t="inlineStr">
        <is>
          <t>Pantry_600</t>
        </is>
      </c>
      <c r="C156" s="4" t="inlineStr">
        <is>
          <t>Shelf_2</t>
        </is>
      </c>
      <c r="D156" s="5" t="n">
        <v>1</v>
      </c>
      <c r="E156" s="11" t="n">
        <v>564</v>
      </c>
      <c r="F156" s="11" t="n">
        <v>536</v>
      </c>
      <c r="G156" s="5" t="n">
        <v>18</v>
      </c>
      <c r="H156" s="4" t="inlineStr">
        <is>
          <t>PVC board 18 mm</t>
        </is>
      </c>
      <c r="I156" s="12">
        <f>D156*E156*F156/1000000</f>
        <v/>
      </c>
      <c r="J156" s="4" t="inlineStr"/>
      <c r="K156" s="4" t="inlineStr">
        <is>
          <t>A18</t>
        </is>
      </c>
    </row>
    <row r="157">
      <c r="A157" s="4" t="n">
        <v>153</v>
      </c>
      <c r="B157" s="4" t="inlineStr">
        <is>
          <t>Pantry_600</t>
        </is>
      </c>
      <c r="C157" s="4" t="inlineStr">
        <is>
          <t>Shelf_3</t>
        </is>
      </c>
      <c r="D157" s="5" t="n">
        <v>1</v>
      </c>
      <c r="E157" s="11" t="n">
        <v>564</v>
      </c>
      <c r="F157" s="11" t="n">
        <v>536</v>
      </c>
      <c r="G157" s="5" t="n">
        <v>18</v>
      </c>
      <c r="H157" s="4" t="inlineStr">
        <is>
          <t>PVC board 18 mm</t>
        </is>
      </c>
      <c r="I157" s="12">
        <f>D157*E157*F157/1000000</f>
        <v/>
      </c>
      <c r="J157" s="4" t="inlineStr"/>
      <c r="K157" s="4" t="inlineStr">
        <is>
          <t>A18</t>
        </is>
      </c>
    </row>
    <row r="158">
      <c r="A158" s="4" t="n">
        <v>154</v>
      </c>
      <c r="B158" s="4" t="inlineStr">
        <is>
          <t>Pantry_600</t>
        </is>
      </c>
      <c r="C158" s="4" t="inlineStr">
        <is>
          <t>Shelf_4</t>
        </is>
      </c>
      <c r="D158" s="5" t="n">
        <v>1</v>
      </c>
      <c r="E158" s="11" t="n">
        <v>564</v>
      </c>
      <c r="F158" s="11" t="n">
        <v>536</v>
      </c>
      <c r="G158" s="5" t="n">
        <v>18</v>
      </c>
      <c r="H158" s="4" t="inlineStr">
        <is>
          <t>PVC board 18 mm</t>
        </is>
      </c>
      <c r="I158" s="12">
        <f>D158*E158*F158/1000000</f>
        <v/>
      </c>
      <c r="J158" s="4" t="inlineStr"/>
      <c r="K158" s="4" t="inlineStr">
        <is>
          <t>A18</t>
        </is>
      </c>
    </row>
    <row r="159">
      <c r="A159" s="4" t="n">
        <v>155</v>
      </c>
      <c r="B159" s="4" t="inlineStr">
        <is>
          <t>Pantry_600</t>
        </is>
      </c>
      <c r="C159" s="4" t="inlineStr">
        <is>
          <t>Shelf_5</t>
        </is>
      </c>
      <c r="D159" s="5" t="n">
        <v>1</v>
      </c>
      <c r="E159" s="11" t="n">
        <v>564</v>
      </c>
      <c r="F159" s="11" t="n">
        <v>536</v>
      </c>
      <c r="G159" s="5" t="n">
        <v>18</v>
      </c>
      <c r="H159" s="4" t="inlineStr">
        <is>
          <t>PVC board 18 mm</t>
        </is>
      </c>
      <c r="I159" s="12">
        <f>D159*E159*F159/1000000</f>
        <v/>
      </c>
      <c r="J159" s="4" t="inlineStr"/>
      <c r="K159" s="4" t="inlineStr">
        <is>
          <t>A18</t>
        </is>
      </c>
    </row>
    <row r="160">
      <c r="A160" s="4" t="n">
        <v>156</v>
      </c>
      <c r="B160" s="4" t="inlineStr">
        <is>
          <t>Pantry_600</t>
        </is>
      </c>
      <c r="C160" s="4" t="inlineStr">
        <is>
          <t>Shelf_6</t>
        </is>
      </c>
      <c r="D160" s="5" t="n">
        <v>1</v>
      </c>
      <c r="E160" s="11" t="n">
        <v>564</v>
      </c>
      <c r="F160" s="11" t="n">
        <v>536</v>
      </c>
      <c r="G160" s="5" t="n">
        <v>18</v>
      </c>
      <c r="H160" s="4" t="inlineStr">
        <is>
          <t>PVC board 18 mm</t>
        </is>
      </c>
      <c r="I160" s="12">
        <f>D160*E160*F160/1000000</f>
        <v/>
      </c>
      <c r="J160" s="4" t="inlineStr"/>
      <c r="K160" s="4" t="inlineStr">
        <is>
          <t>A18</t>
        </is>
      </c>
    </row>
    <row r="161">
      <c r="A161" s="4" t="n">
        <v>157</v>
      </c>
      <c r="B161" s="4" t="inlineStr">
        <is>
          <t>Pantry_600</t>
        </is>
      </c>
      <c r="C161" s="4" t="inlineStr">
        <is>
          <t>Side_A</t>
        </is>
      </c>
      <c r="D161" s="5" t="n">
        <v>1</v>
      </c>
      <c r="E161" s="11" t="n">
        <v>2186</v>
      </c>
      <c r="F161" s="11" t="n">
        <v>574</v>
      </c>
      <c r="G161" s="5" t="n">
        <v>18</v>
      </c>
      <c r="H161" s="4" t="inlineStr">
        <is>
          <t>PVC board 18 mm</t>
        </is>
      </c>
      <c r="I161" s="12">
        <f>D161*E161*F161/1000000</f>
        <v/>
      </c>
      <c r="J161" s="4" t="inlineStr"/>
      <c r="K161" s="4" t="inlineStr">
        <is>
          <t>A3</t>
        </is>
      </c>
    </row>
    <row r="162">
      <c r="A162" s="4" t="n">
        <v>158</v>
      </c>
      <c r="B162" s="4" t="inlineStr">
        <is>
          <t>Pantry_600</t>
        </is>
      </c>
      <c r="C162" s="4" t="inlineStr">
        <is>
          <t>Side_B</t>
        </is>
      </c>
      <c r="D162" s="5" t="n">
        <v>1</v>
      </c>
      <c r="E162" s="11" t="n">
        <v>2186</v>
      </c>
      <c r="F162" s="11" t="n">
        <v>574</v>
      </c>
      <c r="G162" s="5" t="n">
        <v>18</v>
      </c>
      <c r="H162" s="4" t="inlineStr">
        <is>
          <t>PVC board 18 mm</t>
        </is>
      </c>
      <c r="I162" s="12">
        <f>D162*E162*F162/1000000</f>
        <v/>
      </c>
      <c r="J162" s="4" t="inlineStr"/>
      <c r="K162" s="4" t="inlineStr">
        <is>
          <t>A4</t>
        </is>
      </c>
    </row>
    <row r="163">
      <c r="A163" s="4" t="n">
        <v>159</v>
      </c>
      <c r="B163" s="4" t="inlineStr">
        <is>
          <t>Pantry_600</t>
        </is>
      </c>
      <c r="C163" s="4" t="inlineStr">
        <is>
          <t>Top</t>
        </is>
      </c>
      <c r="D163" s="5" t="n">
        <v>1</v>
      </c>
      <c r="E163" s="11" t="n">
        <v>574</v>
      </c>
      <c r="F163" s="11" t="n">
        <v>564</v>
      </c>
      <c r="G163" s="5" t="n">
        <v>18</v>
      </c>
      <c r="H163" s="4" t="inlineStr">
        <is>
          <t>PVC board 18 mm</t>
        </is>
      </c>
      <c r="I163" s="12">
        <f>D163*E163*F163/1000000</f>
        <v/>
      </c>
      <c r="J163" s="4" t="inlineStr"/>
      <c r="K163" s="4" t="inlineStr">
        <is>
          <t>A18</t>
        </is>
      </c>
    </row>
    <row r="164">
      <c r="A164" s="4" t="n">
        <v>160</v>
      </c>
      <c r="B164" s="4" t="inlineStr">
        <is>
          <t>Ref_Tower</t>
        </is>
      </c>
      <c r="C164" s="4" t="inlineStr">
        <is>
          <t>End_Panel_Ref</t>
        </is>
      </c>
      <c r="D164" s="5" t="n">
        <v>1</v>
      </c>
      <c r="E164" s="11" t="n">
        <v>2286</v>
      </c>
      <c r="F164" s="11" t="n">
        <v>784</v>
      </c>
      <c r="G164" s="5" t="n">
        <v>18</v>
      </c>
      <c r="H164" s="4" t="inlineStr">
        <is>
          <t>PVC board 18 mm</t>
        </is>
      </c>
      <c r="I164" s="12">
        <f>D164*E164*F164/1000000</f>
        <v/>
      </c>
      <c r="J164" s="4" t="inlineStr"/>
      <c r="K164" s="4" t="inlineStr">
        <is>
          <t>A1</t>
        </is>
      </c>
    </row>
    <row r="165">
      <c r="A165" s="4" t="n">
        <v>161</v>
      </c>
      <c r="B165" s="4" t="inlineStr">
        <is>
          <t>Ref_Tower</t>
        </is>
      </c>
      <c r="C165" s="4" t="inlineStr">
        <is>
          <t>Filler_Ref</t>
        </is>
      </c>
      <c r="D165" s="5" t="n">
        <v>1</v>
      </c>
      <c r="E165" s="11" t="n">
        <v>2286</v>
      </c>
      <c r="F165" s="11" t="n">
        <v>30</v>
      </c>
      <c r="G165" s="5" t="n">
        <v>18</v>
      </c>
      <c r="H165" s="4" t="inlineStr">
        <is>
          <t>PVC board 18 mm</t>
        </is>
      </c>
      <c r="I165" s="12">
        <f>D165*E165*F165/1000000</f>
        <v/>
      </c>
      <c r="J165" s="4" t="inlineStr"/>
      <c r="K165" s="4" t="inlineStr">
        <is>
          <t>A1</t>
        </is>
      </c>
    </row>
    <row r="166">
      <c r="A166" s="4" t="n">
        <v>162</v>
      </c>
      <c r="B166" s="4" t="inlineStr">
        <is>
          <t>Ref_Tower</t>
        </is>
      </c>
      <c r="C166" s="4" t="inlineStr">
        <is>
          <t>Tall_Panel</t>
        </is>
      </c>
      <c r="D166" s="5" t="n">
        <v>1</v>
      </c>
      <c r="E166" s="11" t="n">
        <v>2286</v>
      </c>
      <c r="F166" s="11" t="n">
        <v>784</v>
      </c>
      <c r="G166" s="5" t="n">
        <v>18</v>
      </c>
      <c r="H166" s="4" t="inlineStr">
        <is>
          <t>PVC board 18 mm</t>
        </is>
      </c>
      <c r="I166" s="12">
        <f>D166*E166*F166/1000000</f>
        <v/>
      </c>
      <c r="J166" s="4" t="inlineStr"/>
      <c r="K166" s="4" t="inlineStr">
        <is>
          <t>A2</t>
        </is>
      </c>
    </row>
    <row r="167">
      <c r="A167" s="4" t="n">
        <v>163</v>
      </c>
      <c r="B167" s="4" t="inlineStr">
        <is>
          <t>Scribe_Strips</t>
        </is>
      </c>
      <c r="C167" s="4" t="inlineStr">
        <is>
          <t>Crown_Back_Appliance</t>
        </is>
      </c>
      <c r="D167" s="5" t="n">
        <v>1</v>
      </c>
      <c r="E167" s="11" t="n">
        <v>900</v>
      </c>
      <c r="F167" s="11" t="n">
        <v>50.8</v>
      </c>
      <c r="G167" s="5" t="n">
        <v>18</v>
      </c>
      <c r="H167" s="4" t="inlineStr">
        <is>
          <t>PVC board 18 mm</t>
        </is>
      </c>
      <c r="I167" s="12">
        <f>D167*E167*F167/1000000</f>
        <v/>
      </c>
      <c r="J167" s="4" t="inlineStr"/>
      <c r="K167" s="4" t="inlineStr">
        <is>
          <t>A7</t>
        </is>
      </c>
    </row>
    <row r="168">
      <c r="A168" s="4" t="n">
        <v>164</v>
      </c>
      <c r="B168" s="4" t="inlineStr">
        <is>
          <t>Scribe_Strips</t>
        </is>
      </c>
      <c r="C168" s="4" t="inlineStr">
        <is>
          <t>Crown_Back_Prep</t>
        </is>
      </c>
      <c r="D168" s="5" t="n">
        <v>1</v>
      </c>
      <c r="E168" s="11" t="n">
        <v>618</v>
      </c>
      <c r="F168" s="11" t="n">
        <v>50.8</v>
      </c>
      <c r="G168" s="5" t="n">
        <v>18</v>
      </c>
      <c r="H168" s="4" t="inlineStr">
        <is>
          <t>PVC board 18 mm</t>
        </is>
      </c>
      <c r="I168" s="12">
        <f>D168*E168*F168/1000000</f>
        <v/>
      </c>
      <c r="J168" s="4" t="inlineStr"/>
      <c r="K168" s="4" t="inlineStr">
        <is>
          <t>A15</t>
        </is>
      </c>
    </row>
    <row r="169">
      <c r="A169" s="4" t="n">
        <v>165</v>
      </c>
      <c r="B169" s="4" t="inlineStr">
        <is>
          <t>Scribe_Strips</t>
        </is>
      </c>
      <c r="C169" s="4" t="inlineStr">
        <is>
          <t>Crown_Pantry</t>
        </is>
      </c>
      <c r="D169" s="5" t="n">
        <v>1</v>
      </c>
      <c r="E169" s="11" t="n">
        <v>647.2</v>
      </c>
      <c r="F169" s="11" t="n">
        <v>50.8</v>
      </c>
      <c r="G169" s="5" t="n">
        <v>18</v>
      </c>
      <c r="H169" s="4" t="inlineStr">
        <is>
          <t>PVC board 18 mm</t>
        </is>
      </c>
      <c r="I169" s="12">
        <f>D169*E169*F169/1000000</f>
        <v/>
      </c>
      <c r="J169" s="4" t="inlineStr"/>
      <c r="K169" s="4" t="inlineStr">
        <is>
          <t>A14</t>
        </is>
      </c>
    </row>
    <row r="170">
      <c r="A170" s="4" t="n">
        <v>166</v>
      </c>
      <c r="B170" s="4" t="inlineStr">
        <is>
          <t>Scribe_Strips</t>
        </is>
      </c>
      <c r="C170" s="4" t="inlineStr">
        <is>
          <t>Crown_Ref</t>
        </is>
      </c>
      <c r="D170" s="5" t="n">
        <v>1</v>
      </c>
      <c r="E170" s="11" t="n">
        <v>1016</v>
      </c>
      <c r="F170" s="11" t="n">
        <v>50.8</v>
      </c>
      <c r="G170" s="5" t="n">
        <v>18</v>
      </c>
      <c r="H170" s="4" t="inlineStr">
        <is>
          <t>PVC board 18 mm</t>
        </is>
      </c>
      <c r="I170" s="12">
        <f>D170*E170*F170/1000000</f>
        <v/>
      </c>
      <c r="J170" s="4" t="inlineStr"/>
      <c r="K170" s="4" t="inlineStr">
        <is>
          <t>A5</t>
        </is>
      </c>
    </row>
    <row r="171">
      <c r="A171" s="4" t="n">
        <v>167</v>
      </c>
      <c r="B171" s="4" t="inlineStr">
        <is>
          <t>Scribe_Strips</t>
        </is>
      </c>
      <c r="C171" s="4" t="inlineStr">
        <is>
          <t>Crown_Uppers</t>
        </is>
      </c>
      <c r="D171" s="5" t="n">
        <v>1</v>
      </c>
      <c r="E171" s="11" t="n">
        <v>1938</v>
      </c>
      <c r="F171" s="11" t="n">
        <v>50.8</v>
      </c>
      <c r="G171" s="5" t="n">
        <v>18</v>
      </c>
      <c r="H171" s="4" t="inlineStr">
        <is>
          <t>PVC board 18 mm</t>
        </is>
      </c>
      <c r="I171" s="12">
        <f>D171*E171*F171/1000000</f>
        <v/>
      </c>
      <c r="J171" s="4" t="inlineStr"/>
      <c r="K171" s="4" t="inlineStr">
        <is>
          <t>A1</t>
        </is>
      </c>
    </row>
    <row r="172">
      <c r="A172" s="4" t="n">
        <v>168</v>
      </c>
      <c r="B172" s="4" t="inlineStr">
        <is>
          <t>Scribe_Strips</t>
        </is>
      </c>
      <c r="C172" s="4" t="inlineStr">
        <is>
          <t>Crown_Washer</t>
        </is>
      </c>
      <c r="D172" s="5" t="n">
        <v>1</v>
      </c>
      <c r="E172" s="11" t="n">
        <v>652.8</v>
      </c>
      <c r="F172" s="11" t="n">
        <v>50.8</v>
      </c>
      <c r="G172" s="5" t="n">
        <v>18</v>
      </c>
      <c r="H172" s="4" t="inlineStr">
        <is>
          <t>PVC board 18 mm</t>
        </is>
      </c>
      <c r="I172" s="12">
        <f>D172*E172*F172/1000000</f>
        <v/>
      </c>
      <c r="J172" s="4" t="inlineStr"/>
      <c r="K172" s="4" t="inlineStr">
        <is>
          <t>A14</t>
        </is>
      </c>
    </row>
    <row r="173">
      <c r="A173" s="4" t="n">
        <v>169</v>
      </c>
      <c r="B173" s="4" t="inlineStr">
        <is>
          <t>Stove_Bay</t>
        </is>
      </c>
      <c r="C173" s="4" t="inlineStr">
        <is>
          <t>Stove_Platform_Riser</t>
        </is>
      </c>
      <c r="D173" s="5" t="n">
        <v>3</v>
      </c>
      <c r="E173" s="11" t="n">
        <v>609.6</v>
      </c>
      <c r="F173" s="11" t="n">
        <v>46</v>
      </c>
      <c r="G173" s="5" t="n">
        <v>18</v>
      </c>
      <c r="H173" s="4" t="inlineStr">
        <is>
          <t>PVC board 18 mm</t>
        </is>
      </c>
      <c r="I173" s="12">
        <f>D173*E173*F173/1000000</f>
        <v/>
      </c>
      <c r="J173" s="4" t="inlineStr">
        <is>
          <t>under the platform top</t>
        </is>
      </c>
      <c r="K173" s="4" t="inlineStr">
        <is>
          <t>A15, A16</t>
        </is>
      </c>
    </row>
    <row r="174">
      <c r="A174" s="4" t="n">
        <v>170</v>
      </c>
      <c r="B174" s="4" t="inlineStr">
        <is>
          <t>Stove_Bay</t>
        </is>
      </c>
      <c r="C174" s="4" t="inlineStr">
        <is>
          <t>Stove_Platform_Top</t>
        </is>
      </c>
      <c r="D174" s="5" t="n">
        <v>1</v>
      </c>
      <c r="E174" s="11" t="n">
        <v>609.6</v>
      </c>
      <c r="F174" s="11" t="n">
        <v>609.6</v>
      </c>
      <c r="G174" s="5" t="n">
        <v>18</v>
      </c>
      <c r="H174" s="4" t="inlineStr">
        <is>
          <t>PVC board 18 mm</t>
        </is>
      </c>
      <c r="I174" s="12">
        <f>D174*E174*F174/1000000</f>
        <v/>
      </c>
      <c r="J174" s="4" t="inlineStr">
        <is>
          <t>platform 64 H total</t>
        </is>
      </c>
      <c r="K174" s="4" t="inlineStr">
        <is>
          <t>A17</t>
        </is>
      </c>
    </row>
    <row r="175">
      <c r="A175" s="4" t="n">
        <v>171</v>
      </c>
      <c r="B175" s="4" t="inlineStr">
        <is>
          <t>Upper_400</t>
        </is>
      </c>
      <c r="C175" s="4" t="inlineStr">
        <is>
          <t>Back</t>
        </is>
      </c>
      <c r="D175" s="5" t="n">
        <v>1</v>
      </c>
      <c r="E175" s="11" t="n">
        <v>914</v>
      </c>
      <c r="F175" s="11" t="n">
        <v>400</v>
      </c>
      <c r="G175" s="5" t="n">
        <v>18</v>
      </c>
      <c r="H175" s="4" t="inlineStr">
        <is>
          <t>PVC board 18 mm</t>
        </is>
      </c>
      <c r="I175" s="12">
        <f>D175*E175*F175/1000000</f>
        <v/>
      </c>
      <c r="J175" s="4" t="inlineStr"/>
      <c r="K175" s="4" t="inlineStr">
        <is>
          <t>A7</t>
        </is>
      </c>
    </row>
    <row r="176">
      <c r="A176" s="4" t="n">
        <v>172</v>
      </c>
      <c r="B176" s="4" t="inlineStr">
        <is>
          <t>Upper_400</t>
        </is>
      </c>
      <c r="C176" s="4" t="inlineStr">
        <is>
          <t>Bottom</t>
        </is>
      </c>
      <c r="D176" s="5" t="n">
        <v>1</v>
      </c>
      <c r="E176" s="11" t="n">
        <v>364</v>
      </c>
      <c r="F176" s="11" t="n">
        <v>294</v>
      </c>
      <c r="G176" s="5" t="n">
        <v>18</v>
      </c>
      <c r="H176" s="4" t="inlineStr">
        <is>
          <t>PVC board 18 mm</t>
        </is>
      </c>
      <c r="I176" s="12">
        <f>D176*E176*F176/1000000</f>
        <v/>
      </c>
      <c r="J176" s="4" t="inlineStr"/>
      <c r="K176" s="4" t="inlineStr">
        <is>
          <t>A20</t>
        </is>
      </c>
    </row>
    <row r="177">
      <c r="A177" s="4" t="n">
        <v>173</v>
      </c>
      <c r="B177" s="4" t="inlineStr">
        <is>
          <t>Upper_400</t>
        </is>
      </c>
      <c r="C177" s="4" t="inlineStr">
        <is>
          <t>Door_1</t>
        </is>
      </c>
      <c r="D177" s="5" t="n">
        <v>1</v>
      </c>
      <c r="E177" s="11" t="n">
        <v>911</v>
      </c>
      <c r="F177" s="11" t="n">
        <v>397</v>
      </c>
      <c r="G177" s="5" t="n">
        <v>18</v>
      </c>
      <c r="H177" s="4" t="inlineStr">
        <is>
          <t>PVC board 18 mm</t>
        </is>
      </c>
      <c r="I177" s="12">
        <f>D177*E177*F177/1000000</f>
        <v/>
      </c>
      <c r="J177" s="4" t="inlineStr"/>
      <c r="K177" s="4" t="inlineStr">
        <is>
          <t>A10</t>
        </is>
      </c>
    </row>
    <row r="178">
      <c r="A178" s="4" t="n">
        <v>174</v>
      </c>
      <c r="B178" s="4" t="inlineStr">
        <is>
          <t>Upper_400</t>
        </is>
      </c>
      <c r="C178" s="4" t="inlineStr">
        <is>
          <t>Shelf_1</t>
        </is>
      </c>
      <c r="D178" s="5" t="n">
        <v>1</v>
      </c>
      <c r="E178" s="11" t="n">
        <v>364</v>
      </c>
      <c r="F178" s="11" t="n">
        <v>256</v>
      </c>
      <c r="G178" s="5" t="n">
        <v>18</v>
      </c>
      <c r="H178" s="4" t="inlineStr">
        <is>
          <t>PVC board 18 mm</t>
        </is>
      </c>
      <c r="I178" s="12">
        <f>D178*E178*F178/1000000</f>
        <v/>
      </c>
      <c r="J178" s="4" t="inlineStr"/>
      <c r="K178" s="4" t="inlineStr">
        <is>
          <t>A20</t>
        </is>
      </c>
    </row>
    <row r="179">
      <c r="A179" s="4" t="n">
        <v>175</v>
      </c>
      <c r="B179" s="4" t="inlineStr">
        <is>
          <t>Upper_400</t>
        </is>
      </c>
      <c r="C179" s="4" t="inlineStr">
        <is>
          <t>Shelf_2</t>
        </is>
      </c>
      <c r="D179" s="5" t="n">
        <v>1</v>
      </c>
      <c r="E179" s="11" t="n">
        <v>364</v>
      </c>
      <c r="F179" s="11" t="n">
        <v>256</v>
      </c>
      <c r="G179" s="5" t="n">
        <v>18</v>
      </c>
      <c r="H179" s="4" t="inlineStr">
        <is>
          <t>PVC board 18 mm</t>
        </is>
      </c>
      <c r="I179" s="12">
        <f>D179*E179*F179/1000000</f>
        <v/>
      </c>
      <c r="J179" s="4" t="inlineStr"/>
      <c r="K179" s="4" t="inlineStr">
        <is>
          <t>A20</t>
        </is>
      </c>
    </row>
    <row r="180">
      <c r="A180" s="4" t="n">
        <v>176</v>
      </c>
      <c r="B180" s="4" t="inlineStr">
        <is>
          <t>Upper_400</t>
        </is>
      </c>
      <c r="C180" s="4" t="inlineStr">
        <is>
          <t>Side_A</t>
        </is>
      </c>
      <c r="D180" s="5" t="n">
        <v>1</v>
      </c>
      <c r="E180" s="11" t="n">
        <v>914</v>
      </c>
      <c r="F180" s="11" t="n">
        <v>294</v>
      </c>
      <c r="G180" s="5" t="n">
        <v>18</v>
      </c>
      <c r="H180" s="4" t="inlineStr">
        <is>
          <t>PVC board 18 mm</t>
        </is>
      </c>
      <c r="I180" s="12">
        <f>D180*E180*F180/1000000</f>
        <v/>
      </c>
      <c r="J180" s="4" t="inlineStr"/>
      <c r="K180" s="4" t="inlineStr">
        <is>
          <t>A6</t>
        </is>
      </c>
    </row>
    <row r="181">
      <c r="A181" s="4" t="n">
        <v>177</v>
      </c>
      <c r="B181" s="4" t="inlineStr">
        <is>
          <t>Upper_400</t>
        </is>
      </c>
      <c r="C181" s="4" t="inlineStr">
        <is>
          <t>Side_B</t>
        </is>
      </c>
      <c r="D181" s="5" t="n">
        <v>1</v>
      </c>
      <c r="E181" s="11" t="n">
        <v>914</v>
      </c>
      <c r="F181" s="11" t="n">
        <v>294</v>
      </c>
      <c r="G181" s="5" t="n">
        <v>18</v>
      </c>
      <c r="H181" s="4" t="inlineStr">
        <is>
          <t>PVC board 18 mm</t>
        </is>
      </c>
      <c r="I181" s="12">
        <f>D181*E181*F181/1000000</f>
        <v/>
      </c>
      <c r="J181" s="4" t="inlineStr"/>
      <c r="K181" s="4" t="inlineStr">
        <is>
          <t>A6</t>
        </is>
      </c>
    </row>
    <row r="182">
      <c r="A182" s="4" t="n">
        <v>178</v>
      </c>
      <c r="B182" s="4" t="inlineStr">
        <is>
          <t>Upper_400</t>
        </is>
      </c>
      <c r="C182" s="4" t="inlineStr">
        <is>
          <t>Top</t>
        </is>
      </c>
      <c r="D182" s="5" t="n">
        <v>1</v>
      </c>
      <c r="E182" s="11" t="n">
        <v>364</v>
      </c>
      <c r="F182" s="11" t="n">
        <v>294</v>
      </c>
      <c r="G182" s="5" t="n">
        <v>18</v>
      </c>
      <c r="H182" s="4" t="inlineStr">
        <is>
          <t>PVC board 18 mm</t>
        </is>
      </c>
      <c r="I182" s="12">
        <f>D182*E182*F182/1000000</f>
        <v/>
      </c>
      <c r="J182" s="4" t="inlineStr"/>
      <c r="K182" s="4" t="inlineStr">
        <is>
          <t>A20</t>
        </is>
      </c>
    </row>
    <row r="183">
      <c r="A183" s="4" t="n">
        <v>179</v>
      </c>
      <c r="B183" s="4" t="inlineStr">
        <is>
          <t>Upper_Appliance_900</t>
        </is>
      </c>
      <c r="C183" s="4" t="inlineStr">
        <is>
          <t>Back</t>
        </is>
      </c>
      <c r="D183" s="5" t="n">
        <v>1</v>
      </c>
      <c r="E183" s="11" t="n">
        <v>914</v>
      </c>
      <c r="F183" s="11" t="n">
        <v>900</v>
      </c>
      <c r="G183" s="5" t="n">
        <v>18</v>
      </c>
      <c r="H183" s="4" t="inlineStr">
        <is>
          <t>PVC board 18 mm</t>
        </is>
      </c>
      <c r="I183" s="12">
        <f>D183*E183*F183/1000000</f>
        <v/>
      </c>
      <c r="J183" s="4" t="inlineStr"/>
      <c r="K183" s="4" t="inlineStr">
        <is>
          <t>A6</t>
        </is>
      </c>
    </row>
    <row r="184">
      <c r="A184" s="4" t="n">
        <v>180</v>
      </c>
      <c r="B184" s="4" t="inlineStr">
        <is>
          <t>Upper_Appliance_900</t>
        </is>
      </c>
      <c r="C184" s="4" t="inlineStr">
        <is>
          <t>Bottom</t>
        </is>
      </c>
      <c r="D184" s="5" t="n">
        <v>1</v>
      </c>
      <c r="E184" s="11" t="n">
        <v>864</v>
      </c>
      <c r="F184" s="11" t="n">
        <v>364</v>
      </c>
      <c r="G184" s="5" t="n">
        <v>18</v>
      </c>
      <c r="H184" s="4" t="inlineStr">
        <is>
          <t>PVC board 18 mm</t>
        </is>
      </c>
      <c r="I184" s="12">
        <f>D184*E184*F184/1000000</f>
        <v/>
      </c>
      <c r="J184" s="4" t="inlineStr"/>
      <c r="K184" s="4" t="inlineStr">
        <is>
          <t>A11</t>
        </is>
      </c>
    </row>
    <row r="185">
      <c r="A185" s="4" t="n">
        <v>181</v>
      </c>
      <c r="B185" s="4" t="inlineStr">
        <is>
          <t>Upper_Appliance_900</t>
        </is>
      </c>
      <c r="C185" s="4" t="inlineStr">
        <is>
          <t>Door_1</t>
        </is>
      </c>
      <c r="D185" s="5" t="n">
        <v>1</v>
      </c>
      <c r="E185" s="11" t="n">
        <v>911</v>
      </c>
      <c r="F185" s="11" t="n">
        <v>447</v>
      </c>
      <c r="G185" s="5" t="n">
        <v>18</v>
      </c>
      <c r="H185" s="4" t="inlineStr">
        <is>
          <t>PVC board 18 mm</t>
        </is>
      </c>
      <c r="I185" s="12">
        <f>D185*E185*F185/1000000</f>
        <v/>
      </c>
      <c r="J185" s="4" t="inlineStr"/>
      <c r="K185" s="4" t="inlineStr">
        <is>
          <t>A9</t>
        </is>
      </c>
    </row>
    <row r="186">
      <c r="A186" s="4" t="n">
        <v>182</v>
      </c>
      <c r="B186" s="4" t="inlineStr">
        <is>
          <t>Upper_Appliance_900</t>
        </is>
      </c>
      <c r="C186" s="4" t="inlineStr">
        <is>
          <t>Door_2</t>
        </is>
      </c>
      <c r="D186" s="5" t="n">
        <v>1</v>
      </c>
      <c r="E186" s="11" t="n">
        <v>911</v>
      </c>
      <c r="F186" s="11" t="n">
        <v>447</v>
      </c>
      <c r="G186" s="5" t="n">
        <v>18</v>
      </c>
      <c r="H186" s="4" t="inlineStr">
        <is>
          <t>PVC board 18 mm</t>
        </is>
      </c>
      <c r="I186" s="12">
        <f>D186*E186*F186/1000000</f>
        <v/>
      </c>
      <c r="J186" s="4" t="inlineStr"/>
      <c r="K186" s="4" t="inlineStr">
        <is>
          <t>A9</t>
        </is>
      </c>
    </row>
    <row r="187">
      <c r="A187" s="4" t="n">
        <v>183</v>
      </c>
      <c r="B187" s="4" t="inlineStr">
        <is>
          <t>Upper_Appliance_900</t>
        </is>
      </c>
      <c r="C187" s="4" t="inlineStr">
        <is>
          <t>Shelf_1</t>
        </is>
      </c>
      <c r="D187" s="5" t="n">
        <v>1</v>
      </c>
      <c r="E187" s="11" t="n">
        <v>864</v>
      </c>
      <c r="F187" s="11" t="n">
        <v>326</v>
      </c>
      <c r="G187" s="5" t="n">
        <v>18</v>
      </c>
      <c r="H187" s="4" t="inlineStr">
        <is>
          <t>PVC board 18 mm</t>
        </is>
      </c>
      <c r="I187" s="12">
        <f>D187*E187*F187/1000000</f>
        <v/>
      </c>
      <c r="J187" s="4" t="inlineStr"/>
      <c r="K187" s="4" t="inlineStr">
        <is>
          <t>A13</t>
        </is>
      </c>
    </row>
    <row r="188">
      <c r="A188" s="4" t="n">
        <v>184</v>
      </c>
      <c r="B188" s="4" t="inlineStr">
        <is>
          <t>Upper_Appliance_900</t>
        </is>
      </c>
      <c r="C188" s="4" t="inlineStr">
        <is>
          <t>Shelf_2</t>
        </is>
      </c>
      <c r="D188" s="5" t="n">
        <v>1</v>
      </c>
      <c r="E188" s="11" t="n">
        <v>864</v>
      </c>
      <c r="F188" s="11" t="n">
        <v>326</v>
      </c>
      <c r="G188" s="5" t="n">
        <v>18</v>
      </c>
      <c r="H188" s="4" t="inlineStr">
        <is>
          <t>PVC board 18 mm</t>
        </is>
      </c>
      <c r="I188" s="12">
        <f>D188*E188*F188/1000000</f>
        <v/>
      </c>
      <c r="J188" s="4" t="inlineStr"/>
      <c r="K188" s="4" t="inlineStr">
        <is>
          <t>A13</t>
        </is>
      </c>
    </row>
    <row r="189">
      <c r="A189" s="4" t="n">
        <v>185</v>
      </c>
      <c r="B189" s="4" t="inlineStr">
        <is>
          <t>Upper_Appliance_900</t>
        </is>
      </c>
      <c r="C189" s="4" t="inlineStr">
        <is>
          <t>Side_A</t>
        </is>
      </c>
      <c r="D189" s="5" t="n">
        <v>1</v>
      </c>
      <c r="E189" s="11" t="n">
        <v>914</v>
      </c>
      <c r="F189" s="11" t="n">
        <v>364</v>
      </c>
      <c r="G189" s="5" t="n">
        <v>18</v>
      </c>
      <c r="H189" s="4" t="inlineStr">
        <is>
          <t>PVC board 18 mm</t>
        </is>
      </c>
      <c r="I189" s="12">
        <f>D189*E189*F189/1000000</f>
        <v/>
      </c>
      <c r="J189" s="4" t="inlineStr"/>
      <c r="K189" s="4" t="inlineStr">
        <is>
          <t>A7</t>
        </is>
      </c>
    </row>
    <row r="190">
      <c r="A190" s="4" t="n">
        <v>186</v>
      </c>
      <c r="B190" s="4" t="inlineStr">
        <is>
          <t>Upper_Appliance_900</t>
        </is>
      </c>
      <c r="C190" s="4" t="inlineStr">
        <is>
          <t>Side_B</t>
        </is>
      </c>
      <c r="D190" s="5" t="n">
        <v>1</v>
      </c>
      <c r="E190" s="11" t="n">
        <v>914</v>
      </c>
      <c r="F190" s="11" t="n">
        <v>364</v>
      </c>
      <c r="G190" s="5" t="n">
        <v>18</v>
      </c>
      <c r="H190" s="4" t="inlineStr">
        <is>
          <t>PVC board 18 mm</t>
        </is>
      </c>
      <c r="I190" s="12">
        <f>D190*E190*F190/1000000</f>
        <v/>
      </c>
      <c r="J190" s="4" t="inlineStr"/>
      <c r="K190" s="4" t="inlineStr">
        <is>
          <t>A8</t>
        </is>
      </c>
    </row>
    <row r="191">
      <c r="A191" s="4" t="n">
        <v>187</v>
      </c>
      <c r="B191" s="4" t="inlineStr">
        <is>
          <t>Upper_Appliance_900</t>
        </is>
      </c>
      <c r="C191" s="4" t="inlineStr">
        <is>
          <t>Top</t>
        </is>
      </c>
      <c r="D191" s="5" t="n">
        <v>1</v>
      </c>
      <c r="E191" s="11" t="n">
        <v>864</v>
      </c>
      <c r="F191" s="11" t="n">
        <v>364</v>
      </c>
      <c r="G191" s="5" t="n">
        <v>18</v>
      </c>
      <c r="H191" s="4" t="inlineStr">
        <is>
          <t>PVC board 18 mm</t>
        </is>
      </c>
      <c r="I191" s="12">
        <f>D191*E191*F191/1000000</f>
        <v/>
      </c>
      <c r="J191" s="4" t="inlineStr"/>
      <c r="K191" s="4" t="inlineStr">
        <is>
          <t>A12</t>
        </is>
      </c>
    </row>
    <row r="192">
      <c r="A192" s="4" t="n">
        <v>188</v>
      </c>
      <c r="B192" s="4" t="inlineStr">
        <is>
          <t>Upper_Hood_620</t>
        </is>
      </c>
      <c r="C192" s="4" t="inlineStr">
        <is>
          <t>Back</t>
        </is>
      </c>
      <c r="D192" s="5" t="n">
        <v>1</v>
      </c>
      <c r="E192" s="11" t="n">
        <v>672</v>
      </c>
      <c r="F192" s="11" t="n">
        <v>620</v>
      </c>
      <c r="G192" s="5" t="n">
        <v>18</v>
      </c>
      <c r="H192" s="4" t="inlineStr">
        <is>
          <t>PVC board 18 mm</t>
        </is>
      </c>
      <c r="I192" s="12">
        <f>D192*E192*F192/1000000</f>
        <v/>
      </c>
      <c r="J192" s="4" t="inlineStr"/>
      <c r="K192" s="4" t="inlineStr">
        <is>
          <t>A17</t>
        </is>
      </c>
    </row>
    <row r="193">
      <c r="A193" s="4" t="n">
        <v>189</v>
      </c>
      <c r="B193" s="4" t="inlineStr">
        <is>
          <t>Upper_Hood_620</t>
        </is>
      </c>
      <c r="C193" s="4" t="inlineStr">
        <is>
          <t>Bottom</t>
        </is>
      </c>
      <c r="D193" s="5" t="n">
        <v>1</v>
      </c>
      <c r="E193" s="11" t="n">
        <v>584</v>
      </c>
      <c r="F193" s="11" t="n">
        <v>294</v>
      </c>
      <c r="G193" s="5" t="n">
        <v>18</v>
      </c>
      <c r="H193" s="4" t="inlineStr">
        <is>
          <t>PVC board 18 mm</t>
        </is>
      </c>
      <c r="I193" s="12">
        <f>D193*E193*F193/1000000</f>
        <v/>
      </c>
      <c r="J193" s="4" t="inlineStr">
        <is>
          <t>hood cut-out - see model</t>
        </is>
      </c>
      <c r="K193" s="4" t="inlineStr">
        <is>
          <t>A2</t>
        </is>
      </c>
    </row>
    <row r="194">
      <c r="A194" s="4" t="n">
        <v>190</v>
      </c>
      <c r="B194" s="4" t="inlineStr">
        <is>
          <t>Upper_Hood_620</t>
        </is>
      </c>
      <c r="C194" s="4" t="inlineStr">
        <is>
          <t>Door_1</t>
        </is>
      </c>
      <c r="D194" s="5" t="n">
        <v>1</v>
      </c>
      <c r="E194" s="11" t="n">
        <v>669</v>
      </c>
      <c r="F194" s="11" t="n">
        <v>617</v>
      </c>
      <c r="G194" s="5" t="n">
        <v>18</v>
      </c>
      <c r="H194" s="4" t="inlineStr">
        <is>
          <t>PVC board 18 mm</t>
        </is>
      </c>
      <c r="I194" s="12">
        <f>D194*E194*F194/1000000</f>
        <v/>
      </c>
      <c r="J194" s="4" t="inlineStr"/>
      <c r="K194" s="4" t="inlineStr">
        <is>
          <t>A17</t>
        </is>
      </c>
    </row>
    <row r="195">
      <c r="A195" s="4" t="n">
        <v>191</v>
      </c>
      <c r="B195" s="4" t="inlineStr">
        <is>
          <t>Upper_Hood_620</t>
        </is>
      </c>
      <c r="C195" s="4" t="inlineStr">
        <is>
          <t>Shelf_1</t>
        </is>
      </c>
      <c r="D195" s="5" t="n">
        <v>1</v>
      </c>
      <c r="E195" s="11" t="n">
        <v>584</v>
      </c>
      <c r="F195" s="11" t="n">
        <v>224</v>
      </c>
      <c r="G195" s="5" t="n">
        <v>18</v>
      </c>
      <c r="H195" s="4" t="inlineStr">
        <is>
          <t>PVC board 18 mm</t>
        </is>
      </c>
      <c r="I195" s="12">
        <f>D195*E195*F195/1000000</f>
        <v/>
      </c>
      <c r="J195" s="4" t="inlineStr"/>
      <c r="K195" s="4" t="inlineStr">
        <is>
          <t>A6</t>
        </is>
      </c>
    </row>
    <row r="196">
      <c r="A196" s="4" t="n">
        <v>192</v>
      </c>
      <c r="B196" s="4" t="inlineStr">
        <is>
          <t>Upper_Hood_620</t>
        </is>
      </c>
      <c r="C196" s="4" t="inlineStr">
        <is>
          <t>Shelf_2</t>
        </is>
      </c>
      <c r="D196" s="5" t="n">
        <v>1</v>
      </c>
      <c r="E196" s="11" t="n">
        <v>584</v>
      </c>
      <c r="F196" s="11" t="n">
        <v>224</v>
      </c>
      <c r="G196" s="5" t="n">
        <v>18</v>
      </c>
      <c r="H196" s="4" t="inlineStr">
        <is>
          <t>PVC board 18 mm</t>
        </is>
      </c>
      <c r="I196" s="12">
        <f>D196*E196*F196/1000000</f>
        <v/>
      </c>
      <c r="J196" s="4" t="inlineStr"/>
      <c r="K196" s="4" t="inlineStr">
        <is>
          <t>A8</t>
        </is>
      </c>
    </row>
    <row r="197">
      <c r="A197" s="4" t="n">
        <v>193</v>
      </c>
      <c r="B197" s="4" t="inlineStr">
        <is>
          <t>Upper_Hood_620</t>
        </is>
      </c>
      <c r="C197" s="4" t="inlineStr">
        <is>
          <t>Side_A</t>
        </is>
      </c>
      <c r="D197" s="5" t="n">
        <v>1</v>
      </c>
      <c r="E197" s="11" t="n">
        <v>672</v>
      </c>
      <c r="F197" s="11" t="n">
        <v>294</v>
      </c>
      <c r="G197" s="5" t="n">
        <v>18</v>
      </c>
      <c r="H197" s="4" t="inlineStr">
        <is>
          <t>PVC board 18 mm</t>
        </is>
      </c>
      <c r="I197" s="12">
        <f>D197*E197*F197/1000000</f>
        <v/>
      </c>
      <c r="J197" s="4" t="inlineStr"/>
      <c r="K197" s="4" t="inlineStr">
        <is>
          <t>A16</t>
        </is>
      </c>
    </row>
    <row r="198">
      <c r="A198" s="4" t="n">
        <v>194</v>
      </c>
      <c r="B198" s="4" t="inlineStr">
        <is>
          <t>Upper_Hood_620</t>
        </is>
      </c>
      <c r="C198" s="4" t="inlineStr">
        <is>
          <t>Side_B</t>
        </is>
      </c>
      <c r="D198" s="5" t="n">
        <v>1</v>
      </c>
      <c r="E198" s="11" t="n">
        <v>672</v>
      </c>
      <c r="F198" s="11" t="n">
        <v>294</v>
      </c>
      <c r="G198" s="5" t="n">
        <v>18</v>
      </c>
      <c r="H198" s="4" t="inlineStr">
        <is>
          <t>PVC board 18 mm</t>
        </is>
      </c>
      <c r="I198" s="12">
        <f>D198*E198*F198/1000000</f>
        <v/>
      </c>
      <c r="J198" s="4" t="inlineStr"/>
      <c r="K198" s="4" t="inlineStr">
        <is>
          <t>A17</t>
        </is>
      </c>
    </row>
    <row r="199">
      <c r="A199" s="4" t="n">
        <v>195</v>
      </c>
      <c r="B199" s="4" t="inlineStr">
        <is>
          <t>Upper_Hood_620</t>
        </is>
      </c>
      <c r="C199" s="4" t="inlineStr">
        <is>
          <t>Top</t>
        </is>
      </c>
      <c r="D199" s="5" t="n">
        <v>1</v>
      </c>
      <c r="E199" s="11" t="n">
        <v>584</v>
      </c>
      <c r="F199" s="11" t="n">
        <v>294</v>
      </c>
      <c r="G199" s="5" t="n">
        <v>18</v>
      </c>
      <c r="H199" s="4" t="inlineStr">
        <is>
          <t>PVC board 18 mm</t>
        </is>
      </c>
      <c r="I199" s="12">
        <f>D199*E199*F199/1000000</f>
        <v/>
      </c>
      <c r="J199" s="4" t="inlineStr"/>
      <c r="K199" s="4" t="inlineStr">
        <is>
          <t>A9</t>
        </is>
      </c>
    </row>
    <row r="200">
      <c r="A200" s="4" t="n">
        <v>196</v>
      </c>
      <c r="B200" s="4" t="inlineStr">
        <is>
          <t>Upper_Over_Washer</t>
        </is>
      </c>
      <c r="C200" s="4" t="inlineStr">
        <is>
          <t>Back</t>
        </is>
      </c>
      <c r="D200" s="5" t="n">
        <v>1</v>
      </c>
      <c r="E200" s="11" t="n">
        <v>914</v>
      </c>
      <c r="F200" s="11" t="n">
        <v>652.8</v>
      </c>
      <c r="G200" s="5" t="n">
        <v>18</v>
      </c>
      <c r="H200" s="4" t="inlineStr">
        <is>
          <t>PVC board 18 mm</t>
        </is>
      </c>
      <c r="I200" s="12">
        <f>D200*E200*F200/1000000</f>
        <v/>
      </c>
      <c r="J200" s="4" t="inlineStr">
        <is>
          <t>notched for pipe - see model</t>
        </is>
      </c>
      <c r="K200" s="4" t="inlineStr">
        <is>
          <t>A8</t>
        </is>
      </c>
    </row>
    <row r="201">
      <c r="A201" s="4" t="n">
        <v>197</v>
      </c>
      <c r="B201" s="4" t="inlineStr">
        <is>
          <t>Upper_Over_Washer</t>
        </is>
      </c>
      <c r="C201" s="4" t="inlineStr">
        <is>
          <t>Bottom</t>
        </is>
      </c>
      <c r="D201" s="5" t="n">
        <v>1</v>
      </c>
      <c r="E201" s="11" t="n">
        <v>616.8</v>
      </c>
      <c r="F201" s="11" t="n">
        <v>294</v>
      </c>
      <c r="G201" s="5" t="n">
        <v>18</v>
      </c>
      <c r="H201" s="4" t="inlineStr">
        <is>
          <t>PVC board 18 mm</t>
        </is>
      </c>
      <c r="I201" s="12">
        <f>D201*E201*F201/1000000</f>
        <v/>
      </c>
      <c r="J201" s="4" t="inlineStr">
        <is>
          <t>notched for pipe - see model</t>
        </is>
      </c>
      <c r="K201" s="4" t="inlineStr">
        <is>
          <t>A5</t>
        </is>
      </c>
    </row>
    <row r="202">
      <c r="A202" s="4" t="n">
        <v>198</v>
      </c>
      <c r="B202" s="4" t="inlineStr">
        <is>
          <t>Upper_Over_Washer</t>
        </is>
      </c>
      <c r="C202" s="4" t="inlineStr">
        <is>
          <t>Door_1</t>
        </is>
      </c>
      <c r="D202" s="5" t="n">
        <v>1</v>
      </c>
      <c r="E202" s="11" t="n">
        <v>911</v>
      </c>
      <c r="F202" s="11" t="n">
        <v>323.4</v>
      </c>
      <c r="G202" s="5" t="n">
        <v>18</v>
      </c>
      <c r="H202" s="4" t="inlineStr">
        <is>
          <t>PVC board 18 mm</t>
        </is>
      </c>
      <c r="I202" s="12">
        <f>D202*E202*F202/1000000</f>
        <v/>
      </c>
      <c r="J202" s="4" t="inlineStr"/>
      <c r="K202" s="4" t="inlineStr">
        <is>
          <t>A10</t>
        </is>
      </c>
    </row>
    <row r="203">
      <c r="A203" s="4" t="n">
        <v>199</v>
      </c>
      <c r="B203" s="4" t="inlineStr">
        <is>
          <t>Upper_Over_Washer</t>
        </is>
      </c>
      <c r="C203" s="4" t="inlineStr">
        <is>
          <t>Door_2</t>
        </is>
      </c>
      <c r="D203" s="5" t="n">
        <v>1</v>
      </c>
      <c r="E203" s="11" t="n">
        <v>911</v>
      </c>
      <c r="F203" s="11" t="n">
        <v>323.4</v>
      </c>
      <c r="G203" s="5" t="n">
        <v>18</v>
      </c>
      <c r="H203" s="4" t="inlineStr">
        <is>
          <t>PVC board 18 mm</t>
        </is>
      </c>
      <c r="I203" s="12">
        <f>D203*E203*F203/1000000</f>
        <v/>
      </c>
      <c r="J203" s="4" t="inlineStr"/>
      <c r="K203" s="4" t="inlineStr">
        <is>
          <t>A10</t>
        </is>
      </c>
    </row>
    <row r="204">
      <c r="A204" s="4" t="n">
        <v>200</v>
      </c>
      <c r="B204" s="4" t="inlineStr">
        <is>
          <t>Upper_Over_Washer</t>
        </is>
      </c>
      <c r="C204" s="4" t="inlineStr">
        <is>
          <t>Pipe_Chase_Front</t>
        </is>
      </c>
      <c r="D204" s="5" t="n">
        <v>1</v>
      </c>
      <c r="E204" s="11" t="n">
        <v>914</v>
      </c>
      <c r="F204" s="11" t="n">
        <v>142</v>
      </c>
      <c r="G204" s="5" t="n">
        <v>18</v>
      </c>
      <c r="H204" s="4" t="inlineStr">
        <is>
          <t>PVC board 18 mm</t>
        </is>
      </c>
      <c r="I204" s="12">
        <f>D204*E204*F204/1000000</f>
        <v/>
      </c>
      <c r="J204" s="4" t="inlineStr"/>
      <c r="K204" s="4" t="inlineStr">
        <is>
          <t>A4</t>
        </is>
      </c>
    </row>
    <row r="205">
      <c r="A205" s="4" t="n">
        <v>201</v>
      </c>
      <c r="B205" s="4" t="inlineStr">
        <is>
          <t>Upper_Over_Washer</t>
        </is>
      </c>
      <c r="C205" s="4" t="inlineStr">
        <is>
          <t>Pipe_Chase_Side</t>
        </is>
      </c>
      <c r="D205" s="5" t="n">
        <v>1</v>
      </c>
      <c r="E205" s="11" t="n">
        <v>914</v>
      </c>
      <c r="F205" s="11" t="n">
        <v>124</v>
      </c>
      <c r="G205" s="5" t="n">
        <v>18</v>
      </c>
      <c r="H205" s="4" t="inlineStr">
        <is>
          <t>PVC board 18 mm</t>
        </is>
      </c>
      <c r="I205" s="12">
        <f>D205*E205*F205/1000000</f>
        <v/>
      </c>
      <c r="J205" s="4" t="inlineStr"/>
      <c r="K205" s="4" t="inlineStr">
        <is>
          <t>A2</t>
        </is>
      </c>
    </row>
    <row r="206">
      <c r="A206" s="4" t="n">
        <v>202</v>
      </c>
      <c r="B206" s="4" t="inlineStr">
        <is>
          <t>Upper_Over_Washer</t>
        </is>
      </c>
      <c r="C206" s="4" t="inlineStr">
        <is>
          <t>Shelf_1</t>
        </is>
      </c>
      <c r="D206" s="5" t="n">
        <v>1</v>
      </c>
      <c r="E206" s="11" t="n">
        <v>616.8</v>
      </c>
      <c r="F206" s="11" t="n">
        <v>256</v>
      </c>
      <c r="G206" s="5" t="n">
        <v>18</v>
      </c>
      <c r="H206" s="4" t="inlineStr">
        <is>
          <t>PVC board 18 mm</t>
        </is>
      </c>
      <c r="I206" s="12">
        <f>D206*E206*F206/1000000</f>
        <v/>
      </c>
      <c r="J206" s="4" t="inlineStr">
        <is>
          <t>notched for pipe - see model</t>
        </is>
      </c>
      <c r="K206" s="4" t="inlineStr">
        <is>
          <t>A5</t>
        </is>
      </c>
    </row>
    <row r="207">
      <c r="A207" s="4" t="n">
        <v>203</v>
      </c>
      <c r="B207" s="4" t="inlineStr">
        <is>
          <t>Upper_Over_Washer</t>
        </is>
      </c>
      <c r="C207" s="4" t="inlineStr">
        <is>
          <t>Shelf_2</t>
        </is>
      </c>
      <c r="D207" s="5" t="n">
        <v>1</v>
      </c>
      <c r="E207" s="11" t="n">
        <v>616.8</v>
      </c>
      <c r="F207" s="11" t="n">
        <v>256</v>
      </c>
      <c r="G207" s="5" t="n">
        <v>18</v>
      </c>
      <c r="H207" s="4" t="inlineStr">
        <is>
          <t>PVC board 18 mm</t>
        </is>
      </c>
      <c r="I207" s="12">
        <f>D207*E207*F207/1000000</f>
        <v/>
      </c>
      <c r="J207" s="4" t="inlineStr">
        <is>
          <t>notched for pipe - see model</t>
        </is>
      </c>
      <c r="K207" s="4" t="inlineStr">
        <is>
          <t>A12</t>
        </is>
      </c>
    </row>
    <row r="208">
      <c r="A208" s="4" t="n">
        <v>204</v>
      </c>
      <c r="B208" s="4" t="inlineStr">
        <is>
          <t>Upper_Over_Washer</t>
        </is>
      </c>
      <c r="C208" s="4" t="inlineStr">
        <is>
          <t>Side_A</t>
        </is>
      </c>
      <c r="D208" s="5" t="n">
        <v>1</v>
      </c>
      <c r="E208" s="11" t="n">
        <v>914</v>
      </c>
      <c r="F208" s="11" t="n">
        <v>294</v>
      </c>
      <c r="G208" s="5" t="n">
        <v>18</v>
      </c>
      <c r="H208" s="4" t="inlineStr">
        <is>
          <t>PVC board 18 mm</t>
        </is>
      </c>
      <c r="I208" s="12">
        <f>D208*E208*F208/1000000</f>
        <v/>
      </c>
      <c r="J208" s="4" t="inlineStr"/>
      <c r="K208" s="4" t="inlineStr">
        <is>
          <t>A7</t>
        </is>
      </c>
    </row>
    <row r="209">
      <c r="A209" s="4" t="n">
        <v>205</v>
      </c>
      <c r="B209" s="4" t="inlineStr">
        <is>
          <t>Upper_Over_Washer</t>
        </is>
      </c>
      <c r="C209" s="4" t="inlineStr">
        <is>
          <t>Side_B</t>
        </is>
      </c>
      <c r="D209" s="5" t="n">
        <v>1</v>
      </c>
      <c r="E209" s="11" t="n">
        <v>914</v>
      </c>
      <c r="F209" s="11" t="n">
        <v>294</v>
      </c>
      <c r="G209" s="5" t="n">
        <v>18</v>
      </c>
      <c r="H209" s="4" t="inlineStr">
        <is>
          <t>PVC board 18 mm</t>
        </is>
      </c>
      <c r="I209" s="12">
        <f>D209*E209*F209/1000000</f>
        <v/>
      </c>
      <c r="J209" s="4" t="inlineStr">
        <is>
          <t>notched for pipe - see model</t>
        </is>
      </c>
      <c r="K209" s="4" t="inlineStr">
        <is>
          <t>A7</t>
        </is>
      </c>
    </row>
    <row r="210">
      <c r="A210" s="4" t="n">
        <v>206</v>
      </c>
      <c r="B210" s="4" t="inlineStr">
        <is>
          <t>Upper_Over_Washer</t>
        </is>
      </c>
      <c r="C210" s="4" t="inlineStr">
        <is>
          <t>Top</t>
        </is>
      </c>
      <c r="D210" s="5" t="n">
        <v>1</v>
      </c>
      <c r="E210" s="11" t="n">
        <v>616.8</v>
      </c>
      <c r="F210" s="11" t="n">
        <v>294</v>
      </c>
      <c r="G210" s="5" t="n">
        <v>18</v>
      </c>
      <c r="H210" s="4" t="inlineStr">
        <is>
          <t>PVC board 18 mm</t>
        </is>
      </c>
      <c r="I210" s="12">
        <f>D210*E210*F210/1000000</f>
        <v/>
      </c>
      <c r="J210" s="4" t="inlineStr">
        <is>
          <t>notched for pipe - see model</t>
        </is>
      </c>
      <c r="K210" s="4" t="inlineStr">
        <is>
          <t>A11</t>
        </is>
      </c>
    </row>
    <row r="211">
      <c r="A211" s="4" t="n">
        <v>207</v>
      </c>
      <c r="B211" s="4" t="inlineStr">
        <is>
          <t>Upper_Prep_600</t>
        </is>
      </c>
      <c r="C211" s="4" t="inlineStr">
        <is>
          <t>Back</t>
        </is>
      </c>
      <c r="D211" s="5" t="n">
        <v>1</v>
      </c>
      <c r="E211" s="11" t="n">
        <v>914</v>
      </c>
      <c r="F211" s="11" t="n">
        <v>600</v>
      </c>
      <c r="G211" s="5" t="n">
        <v>18</v>
      </c>
      <c r="H211" s="4" t="inlineStr">
        <is>
          <t>PVC board 18 mm</t>
        </is>
      </c>
      <c r="I211" s="12">
        <f>D211*E211*F211/1000000</f>
        <v/>
      </c>
      <c r="J211" s="4" t="inlineStr"/>
      <c r="K211" s="4" t="inlineStr">
        <is>
          <t>A8</t>
        </is>
      </c>
    </row>
    <row r="212">
      <c r="A212" s="4" t="n">
        <v>208</v>
      </c>
      <c r="B212" s="4" t="inlineStr">
        <is>
          <t>Upper_Prep_600</t>
        </is>
      </c>
      <c r="C212" s="4" t="inlineStr">
        <is>
          <t>Bottom</t>
        </is>
      </c>
      <c r="D212" s="5" t="n">
        <v>1</v>
      </c>
      <c r="E212" s="11" t="n">
        <v>564</v>
      </c>
      <c r="F212" s="11" t="n">
        <v>294</v>
      </c>
      <c r="G212" s="5" t="n">
        <v>18</v>
      </c>
      <c r="H212" s="4" t="inlineStr">
        <is>
          <t>PVC board 18 mm</t>
        </is>
      </c>
      <c r="I212" s="12">
        <f>D212*E212*F212/1000000</f>
        <v/>
      </c>
      <c r="J212" s="4" t="inlineStr"/>
      <c r="K212" s="4" t="inlineStr">
        <is>
          <t>A19</t>
        </is>
      </c>
    </row>
    <row r="213">
      <c r="A213" s="4" t="n">
        <v>209</v>
      </c>
      <c r="B213" s="4" t="inlineStr">
        <is>
          <t>Upper_Prep_600</t>
        </is>
      </c>
      <c r="C213" s="4" t="inlineStr">
        <is>
          <t>Door_1</t>
        </is>
      </c>
      <c r="D213" s="5" t="n">
        <v>1</v>
      </c>
      <c r="E213" s="11" t="n">
        <v>911</v>
      </c>
      <c r="F213" s="11" t="n">
        <v>597</v>
      </c>
      <c r="G213" s="5" t="n">
        <v>18</v>
      </c>
      <c r="H213" s="4" t="inlineStr">
        <is>
          <t>PVC board 18 mm</t>
        </is>
      </c>
      <c r="I213" s="12">
        <f>D213*E213*F213/1000000</f>
        <v/>
      </c>
      <c r="J213" s="4" t="inlineStr"/>
      <c r="K213" s="4" t="inlineStr">
        <is>
          <t>A9</t>
        </is>
      </c>
    </row>
    <row r="214">
      <c r="A214" s="4" t="n">
        <v>210</v>
      </c>
      <c r="B214" s="4" t="inlineStr">
        <is>
          <t>Upper_Prep_600</t>
        </is>
      </c>
      <c r="C214" s="4" t="inlineStr">
        <is>
          <t>Shelf_1</t>
        </is>
      </c>
      <c r="D214" s="5" t="n">
        <v>1</v>
      </c>
      <c r="E214" s="11" t="n">
        <v>564</v>
      </c>
      <c r="F214" s="11" t="n">
        <v>256</v>
      </c>
      <c r="G214" s="5" t="n">
        <v>18</v>
      </c>
      <c r="H214" s="4" t="inlineStr">
        <is>
          <t>PVC board 18 mm</t>
        </is>
      </c>
      <c r="I214" s="12">
        <f>D214*E214*F214/1000000</f>
        <v/>
      </c>
      <c r="J214" s="4" t="inlineStr"/>
      <c r="K214" s="4" t="inlineStr">
        <is>
          <t>A19</t>
        </is>
      </c>
    </row>
    <row r="215">
      <c r="A215" s="4" t="n">
        <v>211</v>
      </c>
      <c r="B215" s="4" t="inlineStr">
        <is>
          <t>Upper_Prep_600</t>
        </is>
      </c>
      <c r="C215" s="4" t="inlineStr">
        <is>
          <t>Shelf_2</t>
        </is>
      </c>
      <c r="D215" s="5" t="n">
        <v>1</v>
      </c>
      <c r="E215" s="11" t="n">
        <v>564</v>
      </c>
      <c r="F215" s="11" t="n">
        <v>256</v>
      </c>
      <c r="G215" s="5" t="n">
        <v>18</v>
      </c>
      <c r="H215" s="4" t="inlineStr">
        <is>
          <t>PVC board 18 mm</t>
        </is>
      </c>
      <c r="I215" s="12">
        <f>D215*E215*F215/1000000</f>
        <v/>
      </c>
      <c r="J215" s="4" t="inlineStr"/>
      <c r="K215" s="4" t="inlineStr">
        <is>
          <t>A19</t>
        </is>
      </c>
    </row>
    <row r="216">
      <c r="A216" s="4" t="n">
        <v>212</v>
      </c>
      <c r="B216" s="4" t="inlineStr">
        <is>
          <t>Upper_Prep_600</t>
        </is>
      </c>
      <c r="C216" s="4" t="inlineStr">
        <is>
          <t>Side_A</t>
        </is>
      </c>
      <c r="D216" s="5" t="n">
        <v>1</v>
      </c>
      <c r="E216" s="11" t="n">
        <v>914</v>
      </c>
      <c r="F216" s="11" t="n">
        <v>294</v>
      </c>
      <c r="G216" s="5" t="n">
        <v>18</v>
      </c>
      <c r="H216" s="4" t="inlineStr">
        <is>
          <t>PVC board 18 mm</t>
        </is>
      </c>
      <c r="I216" s="12">
        <f>D216*E216*F216/1000000</f>
        <v/>
      </c>
      <c r="J216" s="4" t="inlineStr"/>
      <c r="K216" s="4" t="inlineStr">
        <is>
          <t>A8</t>
        </is>
      </c>
    </row>
    <row r="217">
      <c r="A217" s="4" t="n">
        <v>213</v>
      </c>
      <c r="B217" s="4" t="inlineStr">
        <is>
          <t>Upper_Prep_600</t>
        </is>
      </c>
      <c r="C217" s="4" t="inlineStr">
        <is>
          <t>Side_B</t>
        </is>
      </c>
      <c r="D217" s="5" t="n">
        <v>1</v>
      </c>
      <c r="E217" s="11" t="n">
        <v>914</v>
      </c>
      <c r="F217" s="11" t="n">
        <v>294</v>
      </c>
      <c r="G217" s="5" t="n">
        <v>18</v>
      </c>
      <c r="H217" s="4" t="inlineStr">
        <is>
          <t>PVC board 18 mm</t>
        </is>
      </c>
      <c r="I217" s="12">
        <f>D217*E217*F217/1000000</f>
        <v/>
      </c>
      <c r="J217" s="4" t="inlineStr"/>
      <c r="K217" s="4" t="inlineStr">
        <is>
          <t>A8</t>
        </is>
      </c>
    </row>
    <row r="218">
      <c r="A218" s="4" t="n">
        <v>214</v>
      </c>
      <c r="B218" s="4" t="inlineStr">
        <is>
          <t>Upper_Prep_600</t>
        </is>
      </c>
      <c r="C218" s="4" t="inlineStr">
        <is>
          <t>Top</t>
        </is>
      </c>
      <c r="D218" s="5" t="n">
        <v>1</v>
      </c>
      <c r="E218" s="11" t="n">
        <v>564</v>
      </c>
      <c r="F218" s="11" t="n">
        <v>294</v>
      </c>
      <c r="G218" s="5" t="n">
        <v>18</v>
      </c>
      <c r="H218" s="4" t="inlineStr">
        <is>
          <t>PVC board 18 mm</t>
        </is>
      </c>
      <c r="I218" s="12">
        <f>D218*E218*F218/1000000</f>
        <v/>
      </c>
      <c r="J218" s="4" t="inlineStr"/>
      <c r="K218" s="4" t="inlineStr">
        <is>
          <t>A19</t>
        </is>
      </c>
    </row>
    <row r="219">
      <c r="A219" s="4" t="n">
        <v>215</v>
      </c>
      <c r="B219" s="4" t="inlineStr">
        <is>
          <t>Upper_Sink_900</t>
        </is>
      </c>
      <c r="C219" s="4" t="inlineStr">
        <is>
          <t>Back</t>
        </is>
      </c>
      <c r="D219" s="5" t="n">
        <v>1</v>
      </c>
      <c r="E219" s="11" t="n">
        <v>914</v>
      </c>
      <c r="F219" s="11" t="n">
        <v>900</v>
      </c>
      <c r="G219" s="5" t="n">
        <v>18</v>
      </c>
      <c r="H219" s="4" t="inlineStr">
        <is>
          <t>PVC board 18 mm</t>
        </is>
      </c>
      <c r="I219" s="12">
        <f>D219*E219*F219/1000000</f>
        <v/>
      </c>
      <c r="J219" s="4" t="inlineStr"/>
      <c r="K219" s="4" t="inlineStr">
        <is>
          <t>A6</t>
        </is>
      </c>
    </row>
    <row r="220">
      <c r="A220" s="4" t="n">
        <v>216</v>
      </c>
      <c r="B220" s="4" t="inlineStr">
        <is>
          <t>Upper_Sink_900</t>
        </is>
      </c>
      <c r="C220" s="4" t="inlineStr">
        <is>
          <t>Bottom</t>
        </is>
      </c>
      <c r="D220" s="5" t="n">
        <v>1</v>
      </c>
      <c r="E220" s="11" t="n">
        <v>864</v>
      </c>
      <c r="F220" s="11" t="n">
        <v>294</v>
      </c>
      <c r="G220" s="5" t="n">
        <v>18</v>
      </c>
      <c r="H220" s="4" t="inlineStr">
        <is>
          <t>PVC board 18 mm</t>
        </is>
      </c>
      <c r="I220" s="12">
        <f>D220*E220*F220/1000000</f>
        <v/>
      </c>
      <c r="J220" s="4" t="inlineStr"/>
      <c r="K220" s="4" t="inlineStr">
        <is>
          <t>A12</t>
        </is>
      </c>
    </row>
    <row r="221">
      <c r="A221" s="4" t="n">
        <v>217</v>
      </c>
      <c r="B221" s="4" t="inlineStr">
        <is>
          <t>Upper_Sink_900</t>
        </is>
      </c>
      <c r="C221" s="4" t="inlineStr">
        <is>
          <t>Door_1</t>
        </is>
      </c>
      <c r="D221" s="5" t="n">
        <v>1</v>
      </c>
      <c r="E221" s="11" t="n">
        <v>911</v>
      </c>
      <c r="F221" s="11" t="n">
        <v>447</v>
      </c>
      <c r="G221" s="5" t="n">
        <v>18</v>
      </c>
      <c r="H221" s="4" t="inlineStr">
        <is>
          <t>PVC board 18 mm</t>
        </is>
      </c>
      <c r="I221" s="12">
        <f>D221*E221*F221/1000000</f>
        <v/>
      </c>
      <c r="J221" s="4" t="inlineStr"/>
      <c r="K221" s="4" t="inlineStr">
        <is>
          <t>A10</t>
        </is>
      </c>
    </row>
    <row r="222">
      <c r="A222" s="4" t="n">
        <v>218</v>
      </c>
      <c r="B222" s="4" t="inlineStr">
        <is>
          <t>Upper_Sink_900</t>
        </is>
      </c>
      <c r="C222" s="4" t="inlineStr">
        <is>
          <t>Door_2</t>
        </is>
      </c>
      <c r="D222" s="5" t="n">
        <v>1</v>
      </c>
      <c r="E222" s="11" t="n">
        <v>911</v>
      </c>
      <c r="F222" s="11" t="n">
        <v>447</v>
      </c>
      <c r="G222" s="5" t="n">
        <v>18</v>
      </c>
      <c r="H222" s="4" t="inlineStr">
        <is>
          <t>PVC board 18 mm</t>
        </is>
      </c>
      <c r="I222" s="12">
        <f>D222*E222*F222/1000000</f>
        <v/>
      </c>
      <c r="J222" s="4" t="inlineStr"/>
      <c r="K222" s="4" t="inlineStr">
        <is>
          <t>A10</t>
        </is>
      </c>
    </row>
    <row r="223">
      <c r="A223" s="4" t="n">
        <v>219</v>
      </c>
      <c r="B223" s="4" t="inlineStr">
        <is>
          <t>Upper_Sink_900</t>
        </is>
      </c>
      <c r="C223" s="4" t="inlineStr">
        <is>
          <t>Side_A</t>
        </is>
      </c>
      <c r="D223" s="5" t="n">
        <v>1</v>
      </c>
      <c r="E223" s="11" t="n">
        <v>914</v>
      </c>
      <c r="F223" s="11" t="n">
        <v>294</v>
      </c>
      <c r="G223" s="5" t="n">
        <v>18</v>
      </c>
      <c r="H223" s="4" t="inlineStr">
        <is>
          <t>PVC board 18 mm</t>
        </is>
      </c>
      <c r="I223" s="12">
        <f>D223*E223*F223/1000000</f>
        <v/>
      </c>
      <c r="J223" s="4" t="inlineStr"/>
      <c r="K223" s="4" t="inlineStr">
        <is>
          <t>A2</t>
        </is>
      </c>
    </row>
    <row r="224">
      <c r="A224" s="4" t="n">
        <v>220</v>
      </c>
      <c r="B224" s="4" t="inlineStr">
        <is>
          <t>Upper_Sink_900</t>
        </is>
      </c>
      <c r="C224" s="4" t="inlineStr">
        <is>
          <t>Side_B</t>
        </is>
      </c>
      <c r="D224" s="5" t="n">
        <v>1</v>
      </c>
      <c r="E224" s="11" t="n">
        <v>914</v>
      </c>
      <c r="F224" s="11" t="n">
        <v>294</v>
      </c>
      <c r="G224" s="5" t="n">
        <v>18</v>
      </c>
      <c r="H224" s="4" t="inlineStr">
        <is>
          <t>PVC board 18 mm</t>
        </is>
      </c>
      <c r="I224" s="12">
        <f>D224*E224*F224/1000000</f>
        <v/>
      </c>
      <c r="J224" s="4" t="inlineStr"/>
      <c r="K224" s="4" t="inlineStr">
        <is>
          <t>A2</t>
        </is>
      </c>
    </row>
    <row r="225">
      <c r="A225" s="4" t="n">
        <v>221</v>
      </c>
      <c r="B225" s="4" t="inlineStr">
        <is>
          <t>Upper_Sink_900</t>
        </is>
      </c>
      <c r="C225" s="4" t="inlineStr">
        <is>
          <t>Top</t>
        </is>
      </c>
      <c r="D225" s="5" t="n">
        <v>1</v>
      </c>
      <c r="E225" s="11" t="n">
        <v>864</v>
      </c>
      <c r="F225" s="11" t="n">
        <v>294</v>
      </c>
      <c r="G225" s="5" t="n">
        <v>18</v>
      </c>
      <c r="H225" s="4" t="inlineStr">
        <is>
          <t>PVC board 18 mm</t>
        </is>
      </c>
      <c r="I225" s="12">
        <f>D225*E225*F225/1000000</f>
        <v/>
      </c>
      <c r="J225" s="4" t="inlineStr"/>
      <c r="K225" s="4" t="inlineStr">
        <is>
          <t>A10</t>
        </is>
      </c>
    </row>
    <row r="226">
      <c r="A226" s="4" t="n">
        <v>222</v>
      </c>
      <c r="B226" s="4" t="inlineStr">
        <is>
          <t>Washer_Bay</t>
        </is>
      </c>
      <c r="C226" s="4" t="inlineStr">
        <is>
          <t>Back_Rail</t>
        </is>
      </c>
      <c r="D226" s="5" t="n">
        <v>1</v>
      </c>
      <c r="E226" s="11" t="n">
        <v>634.8</v>
      </c>
      <c r="F226" s="11" t="n">
        <v>100</v>
      </c>
      <c r="G226" s="5" t="n">
        <v>18</v>
      </c>
      <c r="H226" s="4" t="inlineStr">
        <is>
          <t>PVC board 18 mm</t>
        </is>
      </c>
      <c r="I226" s="12">
        <f>D226*E226*F226/1000000</f>
        <v/>
      </c>
      <c r="J226" s="4" t="inlineStr"/>
      <c r="K226" s="4" t="inlineStr">
        <is>
          <t>A17</t>
        </is>
      </c>
    </row>
    <row r="227">
      <c r="A227" s="4" t="n">
        <v>223</v>
      </c>
      <c r="B227" s="4" t="inlineStr">
        <is>
          <t>Washer_Bay</t>
        </is>
      </c>
      <c r="C227" s="4" t="inlineStr">
        <is>
          <t>End_Panel</t>
        </is>
      </c>
      <c r="D227" s="5" t="n">
        <v>1</v>
      </c>
      <c r="E227" s="11" t="n">
        <v>876</v>
      </c>
      <c r="F227" s="11" t="n">
        <v>486</v>
      </c>
      <c r="G227" s="5" t="n">
        <v>18</v>
      </c>
      <c r="H227" s="4" t="inlineStr">
        <is>
          <t>PVC board 18 mm</t>
        </is>
      </c>
      <c r="I227" s="12">
        <f>D227*E227*F227/1000000</f>
        <v/>
      </c>
      <c r="J227" s="4" t="inlineStr"/>
      <c r="K227" s="4" t="inlineStr">
        <is>
          <t>A11</t>
        </is>
      </c>
    </row>
    <row r="228">
      <c r="A228" s="4" t="n">
        <v>224</v>
      </c>
      <c r="B228" s="4" t="inlineStr">
        <is>
          <t>Washer_Bay</t>
        </is>
      </c>
      <c r="C228" s="4" t="inlineStr">
        <is>
          <t>Panel_Stove_Side</t>
        </is>
      </c>
      <c r="D228" s="5" t="n">
        <v>1</v>
      </c>
      <c r="E228" s="11" t="n">
        <v>876</v>
      </c>
      <c r="F228" s="11" t="n">
        <v>610</v>
      </c>
      <c r="G228" s="5" t="n">
        <v>18</v>
      </c>
      <c r="H228" s="4" t="inlineStr">
        <is>
          <t>PVC board 18 mm</t>
        </is>
      </c>
      <c r="I228" s="12">
        <f>D228*E228*F228/1000000</f>
        <v/>
      </c>
      <c r="J228" s="4" t="inlineStr"/>
      <c r="K228" s="4" t="inlineStr">
        <is>
          <t>A12</t>
        </is>
      </c>
    </row>
    <row r="229">
      <c r="A229" s="4" t="n">
        <v>225</v>
      </c>
      <c r="B229" s="4" t="inlineStr">
        <is>
          <t>Washer_Bay</t>
        </is>
      </c>
      <c r="C229" s="4" t="inlineStr">
        <is>
          <t>Rail_Front</t>
        </is>
      </c>
      <c r="D229" s="5" t="n">
        <v>1</v>
      </c>
      <c r="E229" s="11" t="n">
        <v>634.8</v>
      </c>
      <c r="F229" s="11" t="n">
        <v>100</v>
      </c>
      <c r="G229" s="5" t="n">
        <v>18</v>
      </c>
      <c r="H229" s="4" t="inlineStr">
        <is>
          <t>PVC board 18 mm</t>
        </is>
      </c>
      <c r="I229" s="12">
        <f>D229*E229*F229/1000000</f>
        <v/>
      </c>
      <c r="J229" s="4" t="inlineStr"/>
      <c r="K229" s="4" t="inlineStr">
        <is>
          <t>A17</t>
        </is>
      </c>
    </row>
    <row r="230">
      <c r="A230" s="4" t="n">
        <v>226</v>
      </c>
      <c r="B230" s="4" t="inlineStr">
        <is>
          <t>Back_Appliance_Racks_900</t>
        </is>
      </c>
      <c r="C230" s="4" t="inlineStr">
        <is>
          <t>Kick_Bottom_6mm_PVC</t>
        </is>
      </c>
      <c r="D230" s="5" t="n">
        <v>1</v>
      </c>
      <c r="E230" s="11" t="n">
        <v>839</v>
      </c>
      <c r="F230" s="11" t="n">
        <v>400</v>
      </c>
      <c r="G230" s="5" t="n">
        <v>6</v>
      </c>
      <c r="H230" s="4" t="inlineStr">
        <is>
          <t>PVC board 6 mm</t>
        </is>
      </c>
      <c r="I230" s="12">
        <f>D230*E230*F230/1000000</f>
        <v/>
      </c>
      <c r="J230" s="4" t="inlineStr"/>
      <c r="K230" s="4" t="inlineStr">
        <is>
          <t>B1</t>
        </is>
      </c>
    </row>
    <row r="231">
      <c r="A231" s="4" t="n">
        <v>227</v>
      </c>
      <c r="B231" s="4" t="inlineStr">
        <is>
          <t>Back_Prep_Racks_600</t>
        </is>
      </c>
      <c r="C231" s="4" t="inlineStr">
        <is>
          <t>Kick_Bottom_6mm_PVC</t>
        </is>
      </c>
      <c r="D231" s="5" t="n">
        <v>1</v>
      </c>
      <c r="E231" s="11" t="n">
        <v>539</v>
      </c>
      <c r="F231" s="11" t="n">
        <v>400</v>
      </c>
      <c r="G231" s="5" t="n">
        <v>6</v>
      </c>
      <c r="H231" s="4" t="inlineStr">
        <is>
          <t>PVC board 6 mm</t>
        </is>
      </c>
      <c r="I231" s="12">
        <f>D231*E231*F231/1000000</f>
        <v/>
      </c>
      <c r="J231" s="4" t="inlineStr"/>
      <c r="K231" s="4" t="inlineStr">
        <is>
          <t>B1</t>
        </is>
      </c>
    </row>
    <row r="232">
      <c r="A232" s="4" t="n">
        <v>228</v>
      </c>
      <c r="B232" s="4" t="inlineStr">
        <is>
          <t>Base_Racks_400</t>
        </is>
      </c>
      <c r="C232" s="4" t="inlineStr">
        <is>
          <t>Kick_Bottom_6mm_PVC</t>
        </is>
      </c>
      <c r="D232" s="5" t="n">
        <v>1</v>
      </c>
      <c r="E232" s="11" t="n">
        <v>400</v>
      </c>
      <c r="F232" s="11" t="n">
        <v>339</v>
      </c>
      <c r="G232" s="5" t="n">
        <v>6</v>
      </c>
      <c r="H232" s="4" t="inlineStr">
        <is>
          <t>PVC board 6 mm</t>
        </is>
      </c>
      <c r="I232" s="12">
        <f>D232*E232*F232/1000000</f>
        <v/>
      </c>
      <c r="J232" s="4" t="inlineStr"/>
      <c r="K232" s="4" t="inlineStr">
        <is>
          <t>B1</t>
        </is>
      </c>
    </row>
    <row r="233">
      <c r="A233" s="4" t="n">
        <v>229</v>
      </c>
      <c r="B233" s="4" t="inlineStr">
        <is>
          <t>Base_Sink_900</t>
        </is>
      </c>
      <c r="C233" s="4" t="inlineStr">
        <is>
          <t>Kick_Bottom_6mm_PVC</t>
        </is>
      </c>
      <c r="D233" s="5" t="n">
        <v>1</v>
      </c>
      <c r="E233" s="11" t="n">
        <v>839</v>
      </c>
      <c r="F233" s="11" t="n">
        <v>400</v>
      </c>
      <c r="G233" s="5" t="n">
        <v>6</v>
      </c>
      <c r="H233" s="4" t="inlineStr">
        <is>
          <t>PVC board 6 mm</t>
        </is>
      </c>
      <c r="I233" s="12">
        <f>D233*E233*F233/1000000</f>
        <v/>
      </c>
      <c r="J233" s="4" t="inlineStr"/>
      <c r="K233" s="4" t="inlineStr">
        <is>
          <t>B1</t>
        </is>
      </c>
    </row>
    <row r="234">
      <c r="A234" s="4" t="n">
        <v>230</v>
      </c>
      <c r="B234" s="4" t="inlineStr">
        <is>
          <t>Island_1_Racks_450</t>
        </is>
      </c>
      <c r="C234" s="4" t="inlineStr">
        <is>
          <t>Kick_Bottom_6mm_PVC</t>
        </is>
      </c>
      <c r="D234" s="5" t="n">
        <v>1</v>
      </c>
      <c r="E234" s="11" t="n">
        <v>400</v>
      </c>
      <c r="F234" s="11" t="n">
        <v>389</v>
      </c>
      <c r="G234" s="5" t="n">
        <v>6</v>
      </c>
      <c r="H234" s="4" t="inlineStr">
        <is>
          <t>PVC board 6 mm</t>
        </is>
      </c>
      <c r="I234" s="12">
        <f>D234*E234*F234/1000000</f>
        <v/>
      </c>
      <c r="J234" s="4" t="inlineStr"/>
      <c r="K234" s="4" t="inlineStr">
        <is>
          <t>B1</t>
        </is>
      </c>
    </row>
    <row r="235">
      <c r="A235" s="4" t="n">
        <v>231</v>
      </c>
      <c r="B235" s="4" t="inlineStr">
        <is>
          <t>Island_2_Induction_750</t>
        </is>
      </c>
      <c r="C235" s="4" t="inlineStr">
        <is>
          <t>Kick_Bottom_6mm_PVC</t>
        </is>
      </c>
      <c r="D235" s="5" t="n">
        <v>1</v>
      </c>
      <c r="E235" s="11" t="n">
        <v>689</v>
      </c>
      <c r="F235" s="11" t="n">
        <v>400</v>
      </c>
      <c r="G235" s="5" t="n">
        <v>6</v>
      </c>
      <c r="H235" s="4" t="inlineStr">
        <is>
          <t>PVC board 6 mm</t>
        </is>
      </c>
      <c r="I235" s="12">
        <f>D235*E235*F235/1000000</f>
        <v/>
      </c>
      <c r="J235" s="4" t="inlineStr"/>
      <c r="K235" s="4" t="inlineStr">
        <is>
          <t>B1</t>
        </is>
      </c>
    </row>
    <row r="236">
      <c r="A236" s="4" t="n">
        <v>232</v>
      </c>
      <c r="B236" s="4" t="inlineStr">
        <is>
          <t>Island_3_Racks_450</t>
        </is>
      </c>
      <c r="C236" s="4" t="inlineStr">
        <is>
          <t>Kick_Bottom_6mm_PVC</t>
        </is>
      </c>
      <c r="D236" s="5" t="n">
        <v>1</v>
      </c>
      <c r="E236" s="11" t="n">
        <v>400</v>
      </c>
      <c r="F236" s="11" t="n">
        <v>389</v>
      </c>
      <c r="G236" s="5" t="n">
        <v>6</v>
      </c>
      <c r="H236" s="4" t="inlineStr">
        <is>
          <t>PVC board 6 mm</t>
        </is>
      </c>
      <c r="I236" s="12">
        <f>D236*E236*F236/1000000</f>
        <v/>
      </c>
      <c r="J236" s="4" t="inlineStr"/>
      <c r="K236" s="4" t="inlineStr">
        <is>
          <t>B1</t>
        </is>
      </c>
    </row>
    <row r="237">
      <c r="A237" s="4" t="n">
        <v>233</v>
      </c>
      <c r="B237" s="4" t="inlineStr">
        <is>
          <t>Pantry_600</t>
        </is>
      </c>
      <c r="C237" s="4" t="inlineStr">
        <is>
          <t>Kick_Bottom_6mm_PVC</t>
        </is>
      </c>
      <c r="D237" s="5" t="n">
        <v>1</v>
      </c>
      <c r="E237" s="11" t="n">
        <v>539</v>
      </c>
      <c r="F237" s="11" t="n">
        <v>400</v>
      </c>
      <c r="G237" s="5" t="n">
        <v>6</v>
      </c>
      <c r="H237" s="4" t="inlineStr">
        <is>
          <t>PVC board 6 mm</t>
        </is>
      </c>
      <c r="I237" s="12">
        <f>D237*E237*F237/1000000</f>
        <v/>
      </c>
      <c r="J237" s="4" t="inlineStr"/>
      <c r="K237" s="4" t="inlineStr">
        <is>
          <t>B1</t>
        </is>
      </c>
    </row>
    <row r="238">
      <c r="A238" s="4" t="n">
        <v>234</v>
      </c>
      <c r="B238" s="4" t="inlineStr">
        <is>
          <t>Back_Base</t>
        </is>
      </c>
      <c r="C238" s="4" t="inlineStr">
        <is>
          <t>Countertop</t>
        </is>
      </c>
      <c r="D238" s="5" t="n">
        <v>1</v>
      </c>
      <c r="E238" s="11" t="n">
        <v>1518</v>
      </c>
      <c r="F238" s="11" t="n">
        <v>635</v>
      </c>
      <c r="G238" s="5" t="n">
        <v>38</v>
      </c>
      <c r="H238" s="4" t="inlineStr">
        <is>
          <t>Countertop 38 mm</t>
        </is>
      </c>
      <c r="I238" s="12">
        <f>D238*E238*F238/1000000</f>
        <v/>
      </c>
      <c r="J238" s="4" t="inlineStr">
        <is>
          <t>solid surface / granite, back wall, no cut-outs</t>
        </is>
      </c>
      <c r="K238" s="4" t="inlineStr"/>
    </row>
    <row r="239">
      <c r="A239" s="4" t="n">
        <v>235</v>
      </c>
      <c r="B239" s="4" t="inlineStr">
        <is>
          <t>Island</t>
        </is>
      </c>
      <c r="C239" s="4" t="inlineStr">
        <is>
          <t>Countertop</t>
        </is>
      </c>
      <c r="D239" s="5" t="n">
        <v>1</v>
      </c>
      <c r="E239" s="11" t="n">
        <v>1726</v>
      </c>
      <c r="F239" s="11" t="n">
        <v>953</v>
      </c>
      <c r="G239" s="5" t="n">
        <v>38</v>
      </c>
      <c r="H239" s="4" t="inlineStr">
        <is>
          <t>Countertop 38 mm</t>
        </is>
      </c>
      <c r="I239" s="12">
        <f>D239*E239*F239/1000000</f>
        <v/>
      </c>
      <c r="J239" s="4" t="inlineStr">
        <is>
          <t>solid surface / granite, cooktop cut-out 700x400</t>
        </is>
      </c>
      <c r="K239" s="4" t="inlineStr"/>
    </row>
    <row r="240">
      <c r="A240" s="4" t="n">
        <v>236</v>
      </c>
      <c r="B240" s="4" t="inlineStr">
        <is>
          <t>Sink_Counter</t>
        </is>
      </c>
      <c r="C240" s="4" t="inlineStr">
        <is>
          <t>Countertop</t>
        </is>
      </c>
      <c r="D240" s="5" t="n">
        <v>1</v>
      </c>
      <c r="E240" s="11" t="n">
        <v>1300</v>
      </c>
      <c r="F240" s="11" t="n">
        <v>635</v>
      </c>
      <c r="G240" s="5" t="n">
        <v>38</v>
      </c>
      <c r="H240" s="4" t="inlineStr">
        <is>
          <t>Countertop 38 mm</t>
        </is>
      </c>
      <c r="I240" s="12">
        <f>D240*E240*F240/1000000</f>
        <v/>
      </c>
      <c r="J240" s="4" t="inlineStr">
        <is>
          <t>solid surface / granite, sink cut-out 770x420</t>
        </is>
      </c>
      <c r="K240" s="4" t="inlineStr"/>
    </row>
    <row r="241">
      <c r="A241" s="4" t="n">
        <v>237</v>
      </c>
      <c r="B241" s="4" t="inlineStr">
        <is>
          <t>Washer_Bay</t>
        </is>
      </c>
      <c r="C241" s="4" t="inlineStr">
        <is>
          <t>Countertop</t>
        </is>
      </c>
      <c r="D241" s="5" t="n">
        <v>1</v>
      </c>
      <c r="E241" s="11" t="n">
        <v>670.8</v>
      </c>
      <c r="F241" s="11" t="n">
        <v>635</v>
      </c>
      <c r="G241" s="5" t="n">
        <v>38</v>
      </c>
      <c r="H241" s="4" t="inlineStr">
        <is>
          <t>Countertop 38 mm</t>
        </is>
      </c>
      <c r="I241" s="12">
        <f>D241*E241*F241/1000000</f>
        <v/>
      </c>
      <c r="J241" s="4" t="inlineStr">
        <is>
          <t>solid surface / granite, corner notch 144x144 for pipe</t>
        </is>
      </c>
      <c r="K241" s="4" t="inlineStr"/>
    </row>
    <row r="242">
      <c r="C242" s="13" t="inlineStr">
        <is>
          <t>Total pieces / area</t>
        </is>
      </c>
      <c r="D242" s="14">
        <f>SUM(D5:D241)</f>
        <v/>
      </c>
      <c r="I242" s="15">
        <f>SUM(I5:I241)</f>
        <v/>
      </c>
    </row>
  </sheetData>
  <autoFilter ref="A4:K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  <col width="10" customWidth="1" min="6" max="6"/>
    <col width="14" customWidth="1" min="7" max="7"/>
    <col width="9" customWidth="1" min="8" max="8"/>
    <col width="14" customWidth="1" min="9" max="9"/>
    <col width="16" customWidth="1" min="10" max="10"/>
  </cols>
  <sheetData>
    <row r="1">
      <c r="A1" s="1" t="inlineStr">
        <is>
          <t>Doors and drawer fronts</t>
        </is>
      </c>
    </row>
    <row r="2">
      <c r="A2" s="2" t="inlineStr">
        <is>
          <t>Hinges: 35 mm cup, soft-close, clip-on. Rule used: door long side &lt;= 900 mm -&gt; 2 hinges, &lt;= 1600 mm -&gt; 3, longer -&gt; 4 (typical hinge-maker guidance; check your hinge brand).</t>
        </is>
      </c>
    </row>
    <row r="4">
      <c r="A4" s="3" t="inlineStr">
        <is>
          <t>Ref #</t>
        </is>
      </c>
      <c r="B4" s="3" t="inlineStr">
        <is>
          <t>Module</t>
        </is>
      </c>
      <c r="C4" s="3" t="inlineStr">
        <is>
          <t>Part</t>
        </is>
      </c>
      <c r="D4" s="3" t="inlineStr">
        <is>
          <t>Qty</t>
        </is>
      </c>
      <c r="E4" s="3" t="inlineStr">
        <is>
          <t>Long side</t>
        </is>
      </c>
      <c r="F4" s="3" t="inlineStr">
        <is>
          <t>Short side</t>
        </is>
      </c>
      <c r="G4" s="3" t="inlineStr">
        <is>
          <t>Type</t>
        </is>
      </c>
      <c r="H4" s="3" t="inlineStr">
        <is>
          <t>Hinges</t>
        </is>
      </c>
      <c r="I4" s="3" t="inlineStr">
        <is>
          <t>Handle / latch</t>
        </is>
      </c>
      <c r="J4" s="3" t="inlineStr">
        <is>
          <t>Front edge length m</t>
        </is>
      </c>
    </row>
    <row r="5">
      <c r="A5" s="4" t="n">
        <v>1</v>
      </c>
      <c r="B5" s="4" t="inlineStr">
        <is>
          <t>Appliance_Garage_900</t>
        </is>
      </c>
      <c r="C5" s="4" t="inlineStr">
        <is>
          <t>Door_1</t>
        </is>
      </c>
      <c r="D5" s="4" t="n">
        <v>1</v>
      </c>
      <c r="E5" s="11" t="n">
        <v>455</v>
      </c>
      <c r="F5" s="11" t="n">
        <v>447</v>
      </c>
      <c r="G5" s="4" t="inlineStr">
        <is>
          <t>Door</t>
        </is>
      </c>
      <c r="H5" s="5">
        <f>IF(G5="Door",D5*IF(E5&lt;=900,2,IF(E5&lt;=1600,3,4)),0)</f>
        <v/>
      </c>
      <c r="I5" s="5">
        <f>IF(G5="Toe-kick drawer",0,D5)</f>
        <v/>
      </c>
      <c r="J5" s="6">
        <f>D5*2*(E5+F5)/1000</f>
        <v/>
      </c>
    </row>
    <row r="6">
      <c r="A6" s="4" t="n">
        <v>2</v>
      </c>
      <c r="B6" s="4" t="inlineStr">
        <is>
          <t>Appliance_Garage_900</t>
        </is>
      </c>
      <c r="C6" s="4" t="inlineStr">
        <is>
          <t>Door_2</t>
        </is>
      </c>
      <c r="D6" s="4" t="n">
        <v>1</v>
      </c>
      <c r="E6" s="11" t="n">
        <v>455</v>
      </c>
      <c r="F6" s="11" t="n">
        <v>447</v>
      </c>
      <c r="G6" s="4" t="inlineStr">
        <is>
          <t>Door</t>
        </is>
      </c>
      <c r="H6" s="5">
        <f>IF(G6="Door",D6*IF(E6&lt;=900,2,IF(E6&lt;=1600,3,4)),0)</f>
        <v/>
      </c>
      <c r="I6" s="5">
        <f>IF(G6="Toe-kick drawer",0,D6)</f>
        <v/>
      </c>
      <c r="J6" s="6">
        <f>D6*2*(E6+F6)/1000</f>
        <v/>
      </c>
    </row>
    <row r="7">
      <c r="A7" s="4" t="n">
        <v>7</v>
      </c>
      <c r="B7" s="4" t="inlineStr">
        <is>
          <t>Back_Appliance_Racks_900</t>
        </is>
      </c>
      <c r="C7" s="4" t="inlineStr">
        <is>
          <t>DrawerFront_1</t>
        </is>
      </c>
      <c r="D7" s="4" t="n">
        <v>1</v>
      </c>
      <c r="E7" s="11" t="n">
        <v>897</v>
      </c>
      <c r="F7" s="11" t="n">
        <v>307.4</v>
      </c>
      <c r="G7" s="4" t="inlineStr">
        <is>
          <t>Drawer</t>
        </is>
      </c>
      <c r="H7" s="5">
        <f>IF(G7="Door",D7*IF(E7&lt;=900,2,IF(E7&lt;=1600,3,4)),0)</f>
        <v/>
      </c>
      <c r="I7" s="5">
        <f>IF(G7="Toe-kick drawer",0,D7)</f>
        <v/>
      </c>
      <c r="J7" s="6">
        <f>D7*2*(E7+F7)/1000</f>
        <v/>
      </c>
    </row>
    <row r="8">
      <c r="A8" s="4" t="n">
        <v>8</v>
      </c>
      <c r="B8" s="4" t="inlineStr">
        <is>
          <t>Back_Appliance_Racks_900</t>
        </is>
      </c>
      <c r="C8" s="4" t="inlineStr">
        <is>
          <t>DrawerFront_2</t>
        </is>
      </c>
      <c r="D8" s="4" t="n">
        <v>1</v>
      </c>
      <c r="E8" s="11" t="n">
        <v>897</v>
      </c>
      <c r="F8" s="11" t="n">
        <v>268.6</v>
      </c>
      <c r="G8" s="4" t="inlineStr">
        <is>
          <t>Drawer</t>
        </is>
      </c>
      <c r="H8" s="5">
        <f>IF(G8="Door",D8*IF(E8&lt;=900,2,IF(E8&lt;=1600,3,4)),0)</f>
        <v/>
      </c>
      <c r="I8" s="5">
        <f>IF(G8="Toe-kick drawer",0,D8)</f>
        <v/>
      </c>
      <c r="J8" s="6">
        <f>D8*2*(E8+F8)/1000</f>
        <v/>
      </c>
    </row>
    <row r="9">
      <c r="A9" s="4" t="n">
        <v>9</v>
      </c>
      <c r="B9" s="4" t="inlineStr">
        <is>
          <t>Back_Appliance_Racks_900</t>
        </is>
      </c>
      <c r="C9" s="4" t="inlineStr">
        <is>
          <t>DrawerFront_3</t>
        </is>
      </c>
      <c r="D9" s="4" t="n">
        <v>1</v>
      </c>
      <c r="E9" s="11" t="n">
        <v>897</v>
      </c>
      <c r="F9" s="11" t="n">
        <v>191</v>
      </c>
      <c r="G9" s="4" t="inlineStr">
        <is>
          <t>Drawer</t>
        </is>
      </c>
      <c r="H9" s="5">
        <f>IF(G9="Door",D9*IF(E9&lt;=900,2,IF(E9&lt;=1600,3,4)),0)</f>
        <v/>
      </c>
      <c r="I9" s="5">
        <f>IF(G9="Toe-kick drawer",0,D9)</f>
        <v/>
      </c>
      <c r="J9" s="6">
        <f>D9*2*(E9+F9)/1000</f>
        <v/>
      </c>
    </row>
    <row r="10">
      <c r="A10" s="4" t="n">
        <v>11</v>
      </c>
      <c r="B10" s="4" t="inlineStr">
        <is>
          <t>Back_Appliance_Racks_900</t>
        </is>
      </c>
      <c r="C10" s="4" t="inlineStr">
        <is>
          <t>Kick_DrawerFront</t>
        </is>
      </c>
      <c r="D10" s="4" t="n">
        <v>1</v>
      </c>
      <c r="E10" s="11" t="n">
        <v>897</v>
      </c>
      <c r="F10" s="11" t="n">
        <v>87</v>
      </c>
      <c r="G10" s="4" t="inlineStr">
        <is>
          <t>Toe-kick drawer</t>
        </is>
      </c>
      <c r="H10" s="5">
        <f>IF(G10="Door",D10*IF(E10&lt;=900,2,IF(E10&lt;=1600,3,4)),0)</f>
        <v/>
      </c>
      <c r="I10" s="5">
        <f>IF(G10="Toe-kick drawer",0,D10)</f>
        <v/>
      </c>
      <c r="J10" s="6">
        <f>D10*2*(E10+F10)/1000</f>
        <v/>
      </c>
    </row>
    <row r="11">
      <c r="A11" s="4" t="n">
        <v>25</v>
      </c>
      <c r="B11" s="4" t="inlineStr">
        <is>
          <t>Back_Prep_Racks_600</t>
        </is>
      </c>
      <c r="C11" s="4" t="inlineStr">
        <is>
          <t>DrawerFront_1</t>
        </is>
      </c>
      <c r="D11" s="4" t="n">
        <v>1</v>
      </c>
      <c r="E11" s="11" t="n">
        <v>597</v>
      </c>
      <c r="F11" s="11" t="n">
        <v>307.4</v>
      </c>
      <c r="G11" s="4" t="inlineStr">
        <is>
          <t>Drawer</t>
        </is>
      </c>
      <c r="H11" s="5">
        <f>IF(G11="Door",D11*IF(E11&lt;=900,2,IF(E11&lt;=1600,3,4)),0)</f>
        <v/>
      </c>
      <c r="I11" s="5">
        <f>IF(G11="Toe-kick drawer",0,D11)</f>
        <v/>
      </c>
      <c r="J11" s="6">
        <f>D11*2*(E11+F11)/1000</f>
        <v/>
      </c>
    </row>
    <row r="12">
      <c r="A12" s="4" t="n">
        <v>26</v>
      </c>
      <c r="B12" s="4" t="inlineStr">
        <is>
          <t>Back_Prep_Racks_600</t>
        </is>
      </c>
      <c r="C12" s="4" t="inlineStr">
        <is>
          <t>DrawerFront_2</t>
        </is>
      </c>
      <c r="D12" s="4" t="n">
        <v>1</v>
      </c>
      <c r="E12" s="11" t="n">
        <v>597</v>
      </c>
      <c r="F12" s="11" t="n">
        <v>268.6</v>
      </c>
      <c r="G12" s="4" t="inlineStr">
        <is>
          <t>Drawer</t>
        </is>
      </c>
      <c r="H12" s="5">
        <f>IF(G12="Door",D12*IF(E12&lt;=900,2,IF(E12&lt;=1600,3,4)),0)</f>
        <v/>
      </c>
      <c r="I12" s="5">
        <f>IF(G12="Toe-kick drawer",0,D12)</f>
        <v/>
      </c>
      <c r="J12" s="6">
        <f>D12*2*(E12+F12)/1000</f>
        <v/>
      </c>
    </row>
    <row r="13">
      <c r="A13" s="4" t="n">
        <v>27</v>
      </c>
      <c r="B13" s="4" t="inlineStr">
        <is>
          <t>Back_Prep_Racks_600</t>
        </is>
      </c>
      <c r="C13" s="4" t="inlineStr">
        <is>
          <t>DrawerFront_3</t>
        </is>
      </c>
      <c r="D13" s="4" t="n">
        <v>1</v>
      </c>
      <c r="E13" s="11" t="n">
        <v>597</v>
      </c>
      <c r="F13" s="11" t="n">
        <v>191</v>
      </c>
      <c r="G13" s="4" t="inlineStr">
        <is>
          <t>Drawer</t>
        </is>
      </c>
      <c r="H13" s="5">
        <f>IF(G13="Door",D13*IF(E13&lt;=900,2,IF(E13&lt;=1600,3,4)),0)</f>
        <v/>
      </c>
      <c r="I13" s="5">
        <f>IF(G13="Toe-kick drawer",0,D13)</f>
        <v/>
      </c>
      <c r="J13" s="6">
        <f>D13*2*(E13+F13)/1000</f>
        <v/>
      </c>
    </row>
    <row r="14">
      <c r="A14" s="4" t="n">
        <v>29</v>
      </c>
      <c r="B14" s="4" t="inlineStr">
        <is>
          <t>Back_Prep_Racks_600</t>
        </is>
      </c>
      <c r="C14" s="4" t="inlineStr">
        <is>
          <t>Kick_DrawerFront</t>
        </is>
      </c>
      <c r="D14" s="4" t="n">
        <v>1</v>
      </c>
      <c r="E14" s="11" t="n">
        <v>597</v>
      </c>
      <c r="F14" s="11" t="n">
        <v>87</v>
      </c>
      <c r="G14" s="4" t="inlineStr">
        <is>
          <t>Toe-kick drawer</t>
        </is>
      </c>
      <c r="H14" s="5">
        <f>IF(G14="Door",D14*IF(E14&lt;=900,2,IF(E14&lt;=1600,3,4)),0)</f>
        <v/>
      </c>
      <c r="I14" s="5">
        <f>IF(G14="Toe-kick drawer",0,D14)</f>
        <v/>
      </c>
      <c r="J14" s="6">
        <f>D14*2*(E14+F14)/1000</f>
        <v/>
      </c>
    </row>
    <row r="15">
      <c r="A15" s="4" t="n">
        <v>43</v>
      </c>
      <c r="B15" s="4" t="inlineStr">
        <is>
          <t>Base_Racks_400</t>
        </is>
      </c>
      <c r="C15" s="4" t="inlineStr">
        <is>
          <t>DrawerFront_1</t>
        </is>
      </c>
      <c r="D15" s="4" t="n">
        <v>1</v>
      </c>
      <c r="E15" s="11" t="n">
        <v>397</v>
      </c>
      <c r="F15" s="11" t="n">
        <v>307.4</v>
      </c>
      <c r="G15" s="4" t="inlineStr">
        <is>
          <t>Drawer</t>
        </is>
      </c>
      <c r="H15" s="5">
        <f>IF(G15="Door",D15*IF(E15&lt;=900,2,IF(E15&lt;=1600,3,4)),0)</f>
        <v/>
      </c>
      <c r="I15" s="5">
        <f>IF(G15="Toe-kick drawer",0,D15)</f>
        <v/>
      </c>
      <c r="J15" s="6">
        <f>D15*2*(E15+F15)/1000</f>
        <v/>
      </c>
    </row>
    <row r="16">
      <c r="A16" s="4" t="n">
        <v>44</v>
      </c>
      <c r="B16" s="4" t="inlineStr">
        <is>
          <t>Base_Racks_400</t>
        </is>
      </c>
      <c r="C16" s="4" t="inlineStr">
        <is>
          <t>DrawerFront_2</t>
        </is>
      </c>
      <c r="D16" s="4" t="n">
        <v>1</v>
      </c>
      <c r="E16" s="11" t="n">
        <v>397</v>
      </c>
      <c r="F16" s="11" t="n">
        <v>268.6</v>
      </c>
      <c r="G16" s="4" t="inlineStr">
        <is>
          <t>Drawer</t>
        </is>
      </c>
      <c r="H16" s="5">
        <f>IF(G16="Door",D16*IF(E16&lt;=900,2,IF(E16&lt;=1600,3,4)),0)</f>
        <v/>
      </c>
      <c r="I16" s="5">
        <f>IF(G16="Toe-kick drawer",0,D16)</f>
        <v/>
      </c>
      <c r="J16" s="6">
        <f>D16*2*(E16+F16)/1000</f>
        <v/>
      </c>
    </row>
    <row r="17">
      <c r="A17" s="4" t="n">
        <v>45</v>
      </c>
      <c r="B17" s="4" t="inlineStr">
        <is>
          <t>Base_Racks_400</t>
        </is>
      </c>
      <c r="C17" s="4" t="inlineStr">
        <is>
          <t>DrawerFront_3</t>
        </is>
      </c>
      <c r="D17" s="4" t="n">
        <v>1</v>
      </c>
      <c r="E17" s="11" t="n">
        <v>397</v>
      </c>
      <c r="F17" s="11" t="n">
        <v>191</v>
      </c>
      <c r="G17" s="4" t="inlineStr">
        <is>
          <t>Drawer</t>
        </is>
      </c>
      <c r="H17" s="5">
        <f>IF(G17="Door",D17*IF(E17&lt;=900,2,IF(E17&lt;=1600,3,4)),0)</f>
        <v/>
      </c>
      <c r="I17" s="5">
        <f>IF(G17="Toe-kick drawer",0,D17)</f>
        <v/>
      </c>
      <c r="J17" s="6">
        <f>D17*2*(E17+F17)/1000</f>
        <v/>
      </c>
    </row>
    <row r="18">
      <c r="A18" s="4" t="n">
        <v>47</v>
      </c>
      <c r="B18" s="4" t="inlineStr">
        <is>
          <t>Base_Racks_400</t>
        </is>
      </c>
      <c r="C18" s="4" t="inlineStr">
        <is>
          <t>Kick_DrawerFront</t>
        </is>
      </c>
      <c r="D18" s="4" t="n">
        <v>1</v>
      </c>
      <c r="E18" s="11" t="n">
        <v>397</v>
      </c>
      <c r="F18" s="11" t="n">
        <v>87</v>
      </c>
      <c r="G18" s="4" t="inlineStr">
        <is>
          <t>Toe-kick drawer</t>
        </is>
      </c>
      <c r="H18" s="5">
        <f>IF(G18="Door",D18*IF(E18&lt;=900,2,IF(E18&lt;=1600,3,4)),0)</f>
        <v/>
      </c>
      <c r="I18" s="5">
        <f>IF(G18="Toe-kick drawer",0,D18)</f>
        <v/>
      </c>
      <c r="J18" s="6">
        <f>D18*2*(E18+F18)/1000</f>
        <v/>
      </c>
    </row>
    <row r="19">
      <c r="A19" s="4" t="n">
        <v>59</v>
      </c>
      <c r="B19" s="4" t="inlineStr">
        <is>
          <t>Base_Sink_900</t>
        </is>
      </c>
      <c r="C19" s="4" t="inlineStr">
        <is>
          <t>Door_1</t>
        </is>
      </c>
      <c r="D19" s="4" t="n">
        <v>1</v>
      </c>
      <c r="E19" s="11" t="n">
        <v>773</v>
      </c>
      <c r="F19" s="11" t="n">
        <v>447</v>
      </c>
      <c r="G19" s="4" t="inlineStr">
        <is>
          <t>Door</t>
        </is>
      </c>
      <c r="H19" s="5">
        <f>IF(G19="Door",D19*IF(E19&lt;=900,2,IF(E19&lt;=1600,3,4)),0)</f>
        <v/>
      </c>
      <c r="I19" s="5">
        <f>IF(G19="Toe-kick drawer",0,D19)</f>
        <v/>
      </c>
      <c r="J19" s="6">
        <f>D19*2*(E19+F19)/1000</f>
        <v/>
      </c>
    </row>
    <row r="20">
      <c r="A20" s="4" t="n">
        <v>60</v>
      </c>
      <c r="B20" s="4" t="inlineStr">
        <is>
          <t>Base_Sink_900</t>
        </is>
      </c>
      <c r="C20" s="4" t="inlineStr">
        <is>
          <t>Door_2</t>
        </is>
      </c>
      <c r="D20" s="4" t="n">
        <v>1</v>
      </c>
      <c r="E20" s="11" t="n">
        <v>773</v>
      </c>
      <c r="F20" s="11" t="n">
        <v>447</v>
      </c>
      <c r="G20" s="4" t="inlineStr">
        <is>
          <t>Door</t>
        </is>
      </c>
      <c r="H20" s="5">
        <f>IF(G20="Door",D20*IF(E20&lt;=900,2,IF(E20&lt;=1600,3,4)),0)</f>
        <v/>
      </c>
      <c r="I20" s="5">
        <f>IF(G20="Toe-kick drawer",0,D20)</f>
        <v/>
      </c>
      <c r="J20" s="6">
        <f>D20*2*(E20+F20)/1000</f>
        <v/>
      </c>
    </row>
    <row r="21">
      <c r="A21" s="4" t="n">
        <v>62</v>
      </c>
      <c r="B21" s="4" t="inlineStr">
        <is>
          <t>Base_Sink_900</t>
        </is>
      </c>
      <c r="C21" s="4" t="inlineStr">
        <is>
          <t>Kick_DrawerFront</t>
        </is>
      </c>
      <c r="D21" s="4" t="n">
        <v>1</v>
      </c>
      <c r="E21" s="11" t="n">
        <v>897</v>
      </c>
      <c r="F21" s="11" t="n">
        <v>87</v>
      </c>
      <c r="G21" s="4" t="inlineStr">
        <is>
          <t>Toe-kick drawer</t>
        </is>
      </c>
      <c r="H21" s="5">
        <f>IF(G21="Door",D21*IF(E21&lt;=900,2,IF(E21&lt;=1600,3,4)),0)</f>
        <v/>
      </c>
      <c r="I21" s="5">
        <f>IF(G21="Toe-kick drawer",0,D21)</f>
        <v/>
      </c>
      <c r="J21" s="6">
        <f>D21*2*(E21+F21)/1000</f>
        <v/>
      </c>
    </row>
    <row r="22">
      <c r="A22" s="4" t="n">
        <v>78</v>
      </c>
      <c r="B22" s="4" t="inlineStr">
        <is>
          <t>Island_1_Racks_450</t>
        </is>
      </c>
      <c r="C22" s="4" t="inlineStr">
        <is>
          <t>DrawerFront_1</t>
        </is>
      </c>
      <c r="D22" s="4" t="n">
        <v>1</v>
      </c>
      <c r="E22" s="11" t="n">
        <v>447</v>
      </c>
      <c r="F22" s="11" t="n">
        <v>307.4</v>
      </c>
      <c r="G22" s="4" t="inlineStr">
        <is>
          <t>Drawer</t>
        </is>
      </c>
      <c r="H22" s="5">
        <f>IF(G22="Door",D22*IF(E22&lt;=900,2,IF(E22&lt;=1600,3,4)),0)</f>
        <v/>
      </c>
      <c r="I22" s="5">
        <f>IF(G22="Toe-kick drawer",0,D22)</f>
        <v/>
      </c>
      <c r="J22" s="6">
        <f>D22*2*(E22+F22)/1000</f>
        <v/>
      </c>
    </row>
    <row r="23">
      <c r="A23" s="4" t="n">
        <v>79</v>
      </c>
      <c r="B23" s="4" t="inlineStr">
        <is>
          <t>Island_1_Racks_450</t>
        </is>
      </c>
      <c r="C23" s="4" t="inlineStr">
        <is>
          <t>DrawerFront_2</t>
        </is>
      </c>
      <c r="D23" s="4" t="n">
        <v>1</v>
      </c>
      <c r="E23" s="11" t="n">
        <v>447</v>
      </c>
      <c r="F23" s="11" t="n">
        <v>268.6</v>
      </c>
      <c r="G23" s="4" t="inlineStr">
        <is>
          <t>Drawer</t>
        </is>
      </c>
      <c r="H23" s="5">
        <f>IF(G23="Door",D23*IF(E23&lt;=900,2,IF(E23&lt;=1600,3,4)),0)</f>
        <v/>
      </c>
      <c r="I23" s="5">
        <f>IF(G23="Toe-kick drawer",0,D23)</f>
        <v/>
      </c>
      <c r="J23" s="6">
        <f>D23*2*(E23+F23)/1000</f>
        <v/>
      </c>
    </row>
    <row r="24">
      <c r="A24" s="4" t="n">
        <v>80</v>
      </c>
      <c r="B24" s="4" t="inlineStr">
        <is>
          <t>Island_1_Racks_450</t>
        </is>
      </c>
      <c r="C24" s="4" t="inlineStr">
        <is>
          <t>DrawerFront_3</t>
        </is>
      </c>
      <c r="D24" s="4" t="n">
        <v>1</v>
      </c>
      <c r="E24" s="11" t="n">
        <v>447</v>
      </c>
      <c r="F24" s="11" t="n">
        <v>191</v>
      </c>
      <c r="G24" s="4" t="inlineStr">
        <is>
          <t>Drawer</t>
        </is>
      </c>
      <c r="H24" s="5">
        <f>IF(G24="Door",D24*IF(E24&lt;=900,2,IF(E24&lt;=1600,3,4)),0)</f>
        <v/>
      </c>
      <c r="I24" s="5">
        <f>IF(G24="Toe-kick drawer",0,D24)</f>
        <v/>
      </c>
      <c r="J24" s="6">
        <f>D24*2*(E24+F24)/1000</f>
        <v/>
      </c>
    </row>
    <row r="25">
      <c r="A25" s="4" t="n">
        <v>82</v>
      </c>
      <c r="B25" s="4" t="inlineStr">
        <is>
          <t>Island_1_Racks_450</t>
        </is>
      </c>
      <c r="C25" s="4" t="inlineStr">
        <is>
          <t>Kick_DrawerFront</t>
        </is>
      </c>
      <c r="D25" s="4" t="n">
        <v>1</v>
      </c>
      <c r="E25" s="11" t="n">
        <v>447</v>
      </c>
      <c r="F25" s="11" t="n">
        <v>87</v>
      </c>
      <c r="G25" s="4" t="inlineStr">
        <is>
          <t>Toe-kick drawer</t>
        </is>
      </c>
      <c r="H25" s="5">
        <f>IF(G25="Door",D25*IF(E25&lt;=900,2,IF(E25&lt;=1600,3,4)),0)</f>
        <v/>
      </c>
      <c r="I25" s="5">
        <f>IF(G25="Toe-kick drawer",0,D25)</f>
        <v/>
      </c>
      <c r="J25" s="6">
        <f>D25*2*(E25+F25)/1000</f>
        <v/>
      </c>
    </row>
    <row r="26">
      <c r="A26" s="4" t="n">
        <v>95</v>
      </c>
      <c r="B26" s="4" t="inlineStr">
        <is>
          <t>Island_2_Induction_750</t>
        </is>
      </c>
      <c r="C26" s="4" t="inlineStr">
        <is>
          <t>DrawerFront_1</t>
        </is>
      </c>
      <c r="D26" s="4" t="n">
        <v>1</v>
      </c>
      <c r="E26" s="11" t="n">
        <v>747</v>
      </c>
      <c r="F26" s="11" t="n">
        <v>325</v>
      </c>
      <c r="G26" s="4" t="inlineStr">
        <is>
          <t>Drawer</t>
        </is>
      </c>
      <c r="H26" s="5">
        <f>IF(G26="Door",D26*IF(E26&lt;=900,2,IF(E26&lt;=1600,3,4)),0)</f>
        <v/>
      </c>
      <c r="I26" s="5">
        <f>IF(G26="Toe-kick drawer",0,D26)</f>
        <v/>
      </c>
      <c r="J26" s="6">
        <f>D26*2*(E26+F26)/1000</f>
        <v/>
      </c>
    </row>
    <row r="27">
      <c r="A27" s="4" t="n">
        <v>96</v>
      </c>
      <c r="B27" s="4" t="inlineStr">
        <is>
          <t>Island_2_Induction_750</t>
        </is>
      </c>
      <c r="C27" s="4" t="inlineStr">
        <is>
          <t>DrawerFront_2</t>
        </is>
      </c>
      <c r="D27" s="4" t="n">
        <v>1</v>
      </c>
      <c r="E27" s="11" t="n">
        <v>747</v>
      </c>
      <c r="F27" s="11" t="n">
        <v>325</v>
      </c>
      <c r="G27" s="4" t="inlineStr">
        <is>
          <t>Drawer</t>
        </is>
      </c>
      <c r="H27" s="5">
        <f>IF(G27="Door",D27*IF(E27&lt;=900,2,IF(E27&lt;=1600,3,4)),0)</f>
        <v/>
      </c>
      <c r="I27" s="5">
        <f>IF(G27="Toe-kick drawer",0,D27)</f>
        <v/>
      </c>
      <c r="J27" s="6">
        <f>D27*2*(E27+F27)/1000</f>
        <v/>
      </c>
    </row>
    <row r="28">
      <c r="A28" s="4" t="n">
        <v>97</v>
      </c>
      <c r="B28" s="4" t="inlineStr">
        <is>
          <t>Island_2_Induction_750</t>
        </is>
      </c>
      <c r="C28" s="4" t="inlineStr">
        <is>
          <t>DrawerFront_3</t>
        </is>
      </c>
      <c r="D28" s="4" t="n">
        <v>1</v>
      </c>
      <c r="E28" s="11" t="n">
        <v>747</v>
      </c>
      <c r="F28" s="11" t="n">
        <v>117</v>
      </c>
      <c r="G28" s="4" t="inlineStr">
        <is>
          <t>Drawer</t>
        </is>
      </c>
      <c r="H28" s="5">
        <f>IF(G28="Door",D28*IF(E28&lt;=900,2,IF(E28&lt;=1600,3,4)),0)</f>
        <v/>
      </c>
      <c r="I28" s="5">
        <f>IF(G28="Toe-kick drawer",0,D28)</f>
        <v/>
      </c>
      <c r="J28" s="6">
        <f>D28*2*(E28+F28)/1000</f>
        <v/>
      </c>
    </row>
    <row r="29">
      <c r="A29" s="4" t="n">
        <v>99</v>
      </c>
      <c r="B29" s="4" t="inlineStr">
        <is>
          <t>Island_2_Induction_750</t>
        </is>
      </c>
      <c r="C29" s="4" t="inlineStr">
        <is>
          <t>Kick_DrawerFront</t>
        </is>
      </c>
      <c r="D29" s="4" t="n">
        <v>1</v>
      </c>
      <c r="E29" s="11" t="n">
        <v>747</v>
      </c>
      <c r="F29" s="11" t="n">
        <v>87</v>
      </c>
      <c r="G29" s="4" t="inlineStr">
        <is>
          <t>Toe-kick drawer</t>
        </is>
      </c>
      <c r="H29" s="5">
        <f>IF(G29="Door",D29*IF(E29&lt;=900,2,IF(E29&lt;=1600,3,4)),0)</f>
        <v/>
      </c>
      <c r="I29" s="5">
        <f>IF(G29="Toe-kick drawer",0,D29)</f>
        <v/>
      </c>
      <c r="J29" s="6">
        <f>D29*2*(E29+F29)/1000</f>
        <v/>
      </c>
    </row>
    <row r="30">
      <c r="A30" s="4" t="n">
        <v>112</v>
      </c>
      <c r="B30" s="4" t="inlineStr">
        <is>
          <t>Island_3_Racks_450</t>
        </is>
      </c>
      <c r="C30" s="4" t="inlineStr">
        <is>
          <t>DrawerFront_1</t>
        </is>
      </c>
      <c r="D30" s="4" t="n">
        <v>1</v>
      </c>
      <c r="E30" s="11" t="n">
        <v>447</v>
      </c>
      <c r="F30" s="11" t="n">
        <v>307.4</v>
      </c>
      <c r="G30" s="4" t="inlineStr">
        <is>
          <t>Drawer</t>
        </is>
      </c>
      <c r="H30" s="5">
        <f>IF(G30="Door",D30*IF(E30&lt;=900,2,IF(E30&lt;=1600,3,4)),0)</f>
        <v/>
      </c>
      <c r="I30" s="5">
        <f>IF(G30="Toe-kick drawer",0,D30)</f>
        <v/>
      </c>
      <c r="J30" s="6">
        <f>D30*2*(E30+F30)/1000</f>
        <v/>
      </c>
    </row>
    <row r="31">
      <c r="A31" s="4" t="n">
        <v>113</v>
      </c>
      <c r="B31" s="4" t="inlineStr">
        <is>
          <t>Island_3_Racks_450</t>
        </is>
      </c>
      <c r="C31" s="4" t="inlineStr">
        <is>
          <t>DrawerFront_2</t>
        </is>
      </c>
      <c r="D31" s="4" t="n">
        <v>1</v>
      </c>
      <c r="E31" s="11" t="n">
        <v>447</v>
      </c>
      <c r="F31" s="11" t="n">
        <v>268.6</v>
      </c>
      <c r="G31" s="4" t="inlineStr">
        <is>
          <t>Drawer</t>
        </is>
      </c>
      <c r="H31" s="5">
        <f>IF(G31="Door",D31*IF(E31&lt;=900,2,IF(E31&lt;=1600,3,4)),0)</f>
        <v/>
      </c>
      <c r="I31" s="5">
        <f>IF(G31="Toe-kick drawer",0,D31)</f>
        <v/>
      </c>
      <c r="J31" s="6">
        <f>D31*2*(E31+F31)/1000</f>
        <v/>
      </c>
    </row>
    <row r="32">
      <c r="A32" s="4" t="n">
        <v>114</v>
      </c>
      <c r="B32" s="4" t="inlineStr">
        <is>
          <t>Island_3_Racks_450</t>
        </is>
      </c>
      <c r="C32" s="4" t="inlineStr">
        <is>
          <t>DrawerFront_3</t>
        </is>
      </c>
      <c r="D32" s="4" t="n">
        <v>1</v>
      </c>
      <c r="E32" s="11" t="n">
        <v>447</v>
      </c>
      <c r="F32" s="11" t="n">
        <v>191</v>
      </c>
      <c r="G32" s="4" t="inlineStr">
        <is>
          <t>Drawer</t>
        </is>
      </c>
      <c r="H32" s="5">
        <f>IF(G32="Door",D32*IF(E32&lt;=900,2,IF(E32&lt;=1600,3,4)),0)</f>
        <v/>
      </c>
      <c r="I32" s="5">
        <f>IF(G32="Toe-kick drawer",0,D32)</f>
        <v/>
      </c>
      <c r="J32" s="6">
        <f>D32*2*(E32+F32)/1000</f>
        <v/>
      </c>
    </row>
    <row r="33">
      <c r="A33" s="4" t="n">
        <v>116</v>
      </c>
      <c r="B33" s="4" t="inlineStr">
        <is>
          <t>Island_3_Racks_450</t>
        </is>
      </c>
      <c r="C33" s="4" t="inlineStr">
        <is>
          <t>Kick_DrawerFront</t>
        </is>
      </c>
      <c r="D33" s="4" t="n">
        <v>1</v>
      </c>
      <c r="E33" s="11" t="n">
        <v>447</v>
      </c>
      <c r="F33" s="11" t="n">
        <v>87</v>
      </c>
      <c r="G33" s="4" t="inlineStr">
        <is>
          <t>Toe-kick drawer</t>
        </is>
      </c>
      <c r="H33" s="5">
        <f>IF(G33="Door",D33*IF(E33&lt;=900,2,IF(E33&lt;=1600,3,4)),0)</f>
        <v/>
      </c>
      <c r="I33" s="5">
        <f>IF(G33="Toe-kick drawer",0,D33)</f>
        <v/>
      </c>
      <c r="J33" s="6">
        <f>D33*2*(E33+F33)/1000</f>
        <v/>
      </c>
    </row>
    <row r="34">
      <c r="A34" s="4" t="n">
        <v>129</v>
      </c>
      <c r="B34" s="4" t="inlineStr">
        <is>
          <t>Over_Ref_Cabinet</t>
        </is>
      </c>
      <c r="C34" s="4" t="inlineStr">
        <is>
          <t>Door_1</t>
        </is>
      </c>
      <c r="D34" s="4" t="n">
        <v>1</v>
      </c>
      <c r="E34" s="11" t="n">
        <v>472</v>
      </c>
      <c r="F34" s="11" t="n">
        <v>454</v>
      </c>
      <c r="G34" s="4" t="inlineStr">
        <is>
          <t>Door</t>
        </is>
      </c>
      <c r="H34" s="5">
        <f>IF(G34="Door",D34*IF(E34&lt;=900,2,IF(E34&lt;=1600,3,4)),0)</f>
        <v/>
      </c>
      <c r="I34" s="5">
        <f>IF(G34="Toe-kick drawer",0,D34)</f>
        <v/>
      </c>
      <c r="J34" s="6">
        <f>D34*2*(E34+F34)/1000</f>
        <v/>
      </c>
    </row>
    <row r="35">
      <c r="A35" s="4" t="n">
        <v>130</v>
      </c>
      <c r="B35" s="4" t="inlineStr">
        <is>
          <t>Over_Ref_Cabinet</t>
        </is>
      </c>
      <c r="C35" s="4" t="inlineStr">
        <is>
          <t>Door_2</t>
        </is>
      </c>
      <c r="D35" s="4" t="n">
        <v>1</v>
      </c>
      <c r="E35" s="11" t="n">
        <v>472</v>
      </c>
      <c r="F35" s="11" t="n">
        <v>454</v>
      </c>
      <c r="G35" s="4" t="inlineStr">
        <is>
          <t>Door</t>
        </is>
      </c>
      <c r="H35" s="5">
        <f>IF(G35="Door",D35*IF(E35&lt;=900,2,IF(E35&lt;=1600,3,4)),0)</f>
        <v/>
      </c>
      <c r="I35" s="5">
        <f>IF(G35="Toe-kick drawer",0,D35)</f>
        <v/>
      </c>
      <c r="J35" s="6">
        <f>D35*2*(E35+F35)/1000</f>
        <v/>
      </c>
    </row>
    <row r="36">
      <c r="A36" s="4" t="n">
        <v>141</v>
      </c>
      <c r="B36" s="4" t="inlineStr">
        <is>
          <t>Pantry_600</t>
        </is>
      </c>
      <c r="C36" s="4" t="inlineStr">
        <is>
          <t>Door_Lower</t>
        </is>
      </c>
      <c r="D36" s="4" t="n">
        <v>1</v>
      </c>
      <c r="E36" s="11" t="n">
        <v>1269</v>
      </c>
      <c r="F36" s="11" t="n">
        <v>597</v>
      </c>
      <c r="G36" s="4" t="inlineStr">
        <is>
          <t>Door</t>
        </is>
      </c>
      <c r="H36" s="5">
        <f>IF(G36="Door",D36*IF(E36&lt;=900,2,IF(E36&lt;=1600,3,4)),0)</f>
        <v/>
      </c>
      <c r="I36" s="5">
        <f>IF(G36="Toe-kick drawer",0,D36)</f>
        <v/>
      </c>
      <c r="J36" s="6">
        <f>D36*2*(E36+F36)/1000</f>
        <v/>
      </c>
    </row>
    <row r="37">
      <c r="A37" s="4" t="n">
        <v>142</v>
      </c>
      <c r="B37" s="4" t="inlineStr">
        <is>
          <t>Pantry_600</t>
        </is>
      </c>
      <c r="C37" s="4" t="inlineStr">
        <is>
          <t>Door_Upper</t>
        </is>
      </c>
      <c r="D37" s="4" t="n">
        <v>1</v>
      </c>
      <c r="E37" s="11" t="n">
        <v>911</v>
      </c>
      <c r="F37" s="11" t="n">
        <v>597</v>
      </c>
      <c r="G37" s="4" t="inlineStr">
        <is>
          <t>Door</t>
        </is>
      </c>
      <c r="H37" s="5">
        <f>IF(G37="Door",D37*IF(E37&lt;=900,2,IF(E37&lt;=1600,3,4)),0)</f>
        <v/>
      </c>
      <c r="I37" s="5">
        <f>IF(G37="Toe-kick drawer",0,D37)</f>
        <v/>
      </c>
      <c r="J37" s="6">
        <f>D37*2*(E37+F37)/1000</f>
        <v/>
      </c>
    </row>
    <row r="38">
      <c r="A38" s="4" t="n">
        <v>144</v>
      </c>
      <c r="B38" s="4" t="inlineStr">
        <is>
          <t>Pantry_600</t>
        </is>
      </c>
      <c r="C38" s="4" t="inlineStr">
        <is>
          <t>Kick_DrawerFront</t>
        </is>
      </c>
      <c r="D38" s="4" t="n">
        <v>1</v>
      </c>
      <c r="E38" s="11" t="n">
        <v>597</v>
      </c>
      <c r="F38" s="11" t="n">
        <v>87</v>
      </c>
      <c r="G38" s="4" t="inlineStr">
        <is>
          <t>Toe-kick drawer</t>
        </is>
      </c>
      <c r="H38" s="5">
        <f>IF(G38="Door",D38*IF(E38&lt;=900,2,IF(E38&lt;=1600,3,4)),0)</f>
        <v/>
      </c>
      <c r="I38" s="5">
        <f>IF(G38="Toe-kick drawer",0,D38)</f>
        <v/>
      </c>
      <c r="J38" s="6">
        <f>D38*2*(E38+F38)/1000</f>
        <v/>
      </c>
    </row>
    <row r="39">
      <c r="A39" s="4" t="n">
        <v>173</v>
      </c>
      <c r="B39" s="4" t="inlineStr">
        <is>
          <t>Upper_400</t>
        </is>
      </c>
      <c r="C39" s="4" t="inlineStr">
        <is>
          <t>Door_1</t>
        </is>
      </c>
      <c r="D39" s="4" t="n">
        <v>1</v>
      </c>
      <c r="E39" s="11" t="n">
        <v>911</v>
      </c>
      <c r="F39" s="11" t="n">
        <v>397</v>
      </c>
      <c r="G39" s="4" t="inlineStr">
        <is>
          <t>Door</t>
        </is>
      </c>
      <c r="H39" s="5">
        <f>IF(G39="Door",D39*IF(E39&lt;=900,2,IF(E39&lt;=1600,3,4)),0)</f>
        <v/>
      </c>
      <c r="I39" s="5">
        <f>IF(G39="Toe-kick drawer",0,D39)</f>
        <v/>
      </c>
      <c r="J39" s="6">
        <f>D39*2*(E39+F39)/1000</f>
        <v/>
      </c>
    </row>
    <row r="40">
      <c r="A40" s="4" t="n">
        <v>181</v>
      </c>
      <c r="B40" s="4" t="inlineStr">
        <is>
          <t>Upper_Appliance_900</t>
        </is>
      </c>
      <c r="C40" s="4" t="inlineStr">
        <is>
          <t>Door_1</t>
        </is>
      </c>
      <c r="D40" s="4" t="n">
        <v>1</v>
      </c>
      <c r="E40" s="11" t="n">
        <v>911</v>
      </c>
      <c r="F40" s="11" t="n">
        <v>447</v>
      </c>
      <c r="G40" s="4" t="inlineStr">
        <is>
          <t>Door</t>
        </is>
      </c>
      <c r="H40" s="5">
        <f>IF(G40="Door",D40*IF(E40&lt;=900,2,IF(E40&lt;=1600,3,4)),0)</f>
        <v/>
      </c>
      <c r="I40" s="5">
        <f>IF(G40="Toe-kick drawer",0,D40)</f>
        <v/>
      </c>
      <c r="J40" s="6">
        <f>D40*2*(E40+F40)/1000</f>
        <v/>
      </c>
    </row>
    <row r="41">
      <c r="A41" s="4" t="n">
        <v>182</v>
      </c>
      <c r="B41" s="4" t="inlineStr">
        <is>
          <t>Upper_Appliance_900</t>
        </is>
      </c>
      <c r="C41" s="4" t="inlineStr">
        <is>
          <t>Door_2</t>
        </is>
      </c>
      <c r="D41" s="4" t="n">
        <v>1</v>
      </c>
      <c r="E41" s="11" t="n">
        <v>911</v>
      </c>
      <c r="F41" s="11" t="n">
        <v>447</v>
      </c>
      <c r="G41" s="4" t="inlineStr">
        <is>
          <t>Door</t>
        </is>
      </c>
      <c r="H41" s="5">
        <f>IF(G41="Door",D41*IF(E41&lt;=900,2,IF(E41&lt;=1600,3,4)),0)</f>
        <v/>
      </c>
      <c r="I41" s="5">
        <f>IF(G41="Toe-kick drawer",0,D41)</f>
        <v/>
      </c>
      <c r="J41" s="6">
        <f>D41*2*(E41+F41)/1000</f>
        <v/>
      </c>
    </row>
    <row r="42">
      <c r="A42" s="4" t="n">
        <v>190</v>
      </c>
      <c r="B42" s="4" t="inlineStr">
        <is>
          <t>Upper_Hood_620</t>
        </is>
      </c>
      <c r="C42" s="4" t="inlineStr">
        <is>
          <t>Door_1</t>
        </is>
      </c>
      <c r="D42" s="4" t="n">
        <v>1</v>
      </c>
      <c r="E42" s="11" t="n">
        <v>669</v>
      </c>
      <c r="F42" s="11" t="n">
        <v>617</v>
      </c>
      <c r="G42" s="4" t="inlineStr">
        <is>
          <t>Door</t>
        </is>
      </c>
      <c r="H42" s="5">
        <f>IF(G42="Door",D42*IF(E42&lt;=900,2,IF(E42&lt;=1600,3,4)),0)</f>
        <v/>
      </c>
      <c r="I42" s="5">
        <f>IF(G42="Toe-kick drawer",0,D42)</f>
        <v/>
      </c>
      <c r="J42" s="6">
        <f>D42*2*(E42+F42)/1000</f>
        <v/>
      </c>
    </row>
    <row r="43">
      <c r="A43" s="4" t="n">
        <v>198</v>
      </c>
      <c r="B43" s="4" t="inlineStr">
        <is>
          <t>Upper_Over_Washer</t>
        </is>
      </c>
      <c r="C43" s="4" t="inlineStr">
        <is>
          <t>Door_1</t>
        </is>
      </c>
      <c r="D43" s="4" t="n">
        <v>1</v>
      </c>
      <c r="E43" s="11" t="n">
        <v>911</v>
      </c>
      <c r="F43" s="11" t="n">
        <v>323.4</v>
      </c>
      <c r="G43" s="4" t="inlineStr">
        <is>
          <t>Door</t>
        </is>
      </c>
      <c r="H43" s="5">
        <f>IF(G43="Door",D43*IF(E43&lt;=900,2,IF(E43&lt;=1600,3,4)),0)</f>
        <v/>
      </c>
      <c r="I43" s="5">
        <f>IF(G43="Toe-kick drawer",0,D43)</f>
        <v/>
      </c>
      <c r="J43" s="6">
        <f>D43*2*(E43+F43)/1000</f>
        <v/>
      </c>
    </row>
    <row r="44">
      <c r="A44" s="4" t="n">
        <v>199</v>
      </c>
      <c r="B44" s="4" t="inlineStr">
        <is>
          <t>Upper_Over_Washer</t>
        </is>
      </c>
      <c r="C44" s="4" t="inlineStr">
        <is>
          <t>Door_2</t>
        </is>
      </c>
      <c r="D44" s="4" t="n">
        <v>1</v>
      </c>
      <c r="E44" s="11" t="n">
        <v>911</v>
      </c>
      <c r="F44" s="11" t="n">
        <v>323.4</v>
      </c>
      <c r="G44" s="4" t="inlineStr">
        <is>
          <t>Door</t>
        </is>
      </c>
      <c r="H44" s="5">
        <f>IF(G44="Door",D44*IF(E44&lt;=900,2,IF(E44&lt;=1600,3,4)),0)</f>
        <v/>
      </c>
      <c r="I44" s="5">
        <f>IF(G44="Toe-kick drawer",0,D44)</f>
        <v/>
      </c>
      <c r="J44" s="6">
        <f>D44*2*(E44+F44)/1000</f>
        <v/>
      </c>
    </row>
    <row r="45">
      <c r="A45" s="4" t="n">
        <v>209</v>
      </c>
      <c r="B45" s="4" t="inlineStr">
        <is>
          <t>Upper_Prep_600</t>
        </is>
      </c>
      <c r="C45" s="4" t="inlineStr">
        <is>
          <t>Door_1</t>
        </is>
      </c>
      <c r="D45" s="4" t="n">
        <v>1</v>
      </c>
      <c r="E45" s="11" t="n">
        <v>911</v>
      </c>
      <c r="F45" s="11" t="n">
        <v>597</v>
      </c>
      <c r="G45" s="4" t="inlineStr">
        <is>
          <t>Door</t>
        </is>
      </c>
      <c r="H45" s="5">
        <f>IF(G45="Door",D45*IF(E45&lt;=900,2,IF(E45&lt;=1600,3,4)),0)</f>
        <v/>
      </c>
      <c r="I45" s="5">
        <f>IF(G45="Toe-kick drawer",0,D45)</f>
        <v/>
      </c>
      <c r="J45" s="6">
        <f>D45*2*(E45+F45)/1000</f>
        <v/>
      </c>
    </row>
    <row r="46">
      <c r="A46" s="4" t="n">
        <v>217</v>
      </c>
      <c r="B46" s="4" t="inlineStr">
        <is>
          <t>Upper_Sink_900</t>
        </is>
      </c>
      <c r="C46" s="4" t="inlineStr">
        <is>
          <t>Door_1</t>
        </is>
      </c>
      <c r="D46" s="4" t="n">
        <v>1</v>
      </c>
      <c r="E46" s="11" t="n">
        <v>911</v>
      </c>
      <c r="F46" s="11" t="n">
        <v>447</v>
      </c>
      <c r="G46" s="4" t="inlineStr">
        <is>
          <t>Door</t>
        </is>
      </c>
      <c r="H46" s="5">
        <f>IF(G46="Door",D46*IF(E46&lt;=900,2,IF(E46&lt;=1600,3,4)),0)</f>
        <v/>
      </c>
      <c r="I46" s="5">
        <f>IF(G46="Toe-kick drawer",0,D46)</f>
        <v/>
      </c>
      <c r="J46" s="6">
        <f>D46*2*(E46+F46)/1000</f>
        <v/>
      </c>
    </row>
    <row r="47">
      <c r="A47" s="4" t="n">
        <v>218</v>
      </c>
      <c r="B47" s="4" t="inlineStr">
        <is>
          <t>Upper_Sink_900</t>
        </is>
      </c>
      <c r="C47" s="4" t="inlineStr">
        <is>
          <t>Door_2</t>
        </is>
      </c>
      <c r="D47" s="4" t="n">
        <v>1</v>
      </c>
      <c r="E47" s="11" t="n">
        <v>911</v>
      </c>
      <c r="F47" s="11" t="n">
        <v>447</v>
      </c>
      <c r="G47" s="4" t="inlineStr">
        <is>
          <t>Door</t>
        </is>
      </c>
      <c r="H47" s="5">
        <f>IF(G47="Door",D47*IF(E47&lt;=900,2,IF(E47&lt;=1600,3,4)),0)</f>
        <v/>
      </c>
      <c r="I47" s="5">
        <f>IF(G47="Toe-kick drawer",0,D47)</f>
        <v/>
      </c>
      <c r="J47" s="6">
        <f>D47*2*(E47+F47)/1000</f>
        <v/>
      </c>
    </row>
    <row r="48">
      <c r="C48" s="13" t="inlineStr">
        <is>
          <t>Totals</t>
        </is>
      </c>
      <c r="D48" s="14">
        <f>SUM(D5:D47)</f>
        <v/>
      </c>
      <c r="H48" s="14">
        <f>SUM(H5:H47)</f>
        <v/>
      </c>
      <c r="I48" s="14">
        <f>SUM(I5:I47)</f>
        <v/>
      </c>
      <c r="J48" s="15">
        <f>SUM(J5:J47)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7" customWidth="1" min="3" max="3"/>
    <col width="24" customWidth="1" min="4" max="4"/>
    <col width="30" customWidth="1" min="5" max="5"/>
    <col width="8" customWidth="1" min="6" max="6"/>
    <col width="8" customWidth="1" min="7" max="7"/>
    <col width="11" customWidth="1" min="8" max="8"/>
    <col width="11" customWidth="1" min="9" max="9"/>
    <col width="9" customWidth="1" min="10" max="10"/>
  </cols>
  <sheetData>
    <row r="1">
      <c r="A1" s="1" t="inlineStr">
        <is>
          <t>Nesting on 4x8 sheets (x, y from the sheet corner, mm) - see kitchen_v3_cutting_diagram.pdf</t>
        </is>
      </c>
    </row>
    <row r="2">
      <c r="A2" s="2" t="inlineStr">
        <is>
          <t>Sheet 2440 x 1220, 5 mm edge trim, 4 mm saw kerf, guillotine cuts.</t>
        </is>
      </c>
    </row>
    <row r="4">
      <c r="A4" s="3" t="inlineStr">
        <is>
          <t>Sheet</t>
        </is>
      </c>
      <c r="B4" s="3" t="inlineStr">
        <is>
          <t>Material</t>
        </is>
      </c>
      <c r="C4" s="3" t="inlineStr">
        <is>
          <t>Ref #</t>
        </is>
      </c>
      <c r="D4" s="3" t="inlineStr">
        <is>
          <t>Module</t>
        </is>
      </c>
      <c r="E4" s="3" t="inlineStr">
        <is>
          <t>Part</t>
        </is>
      </c>
      <c r="F4" s="3" t="inlineStr">
        <is>
          <t>X</t>
        </is>
      </c>
      <c r="G4" s="3" t="inlineStr">
        <is>
          <t>Y</t>
        </is>
      </c>
      <c r="H4" s="3" t="inlineStr">
        <is>
          <t>Along 2440</t>
        </is>
      </c>
      <c r="I4" s="3" t="inlineStr">
        <is>
          <t>Along 1220</t>
        </is>
      </c>
      <c r="J4" s="3" t="inlineStr">
        <is>
          <t>Rotated</t>
        </is>
      </c>
    </row>
    <row r="5">
      <c r="A5" s="4" t="inlineStr">
        <is>
          <t>A1</t>
        </is>
      </c>
      <c r="B5" s="4" t="inlineStr">
        <is>
          <t>PVC board 18 mm</t>
        </is>
      </c>
      <c r="C5" s="4" t="n">
        <v>160</v>
      </c>
      <c r="D5" s="4" t="inlineStr">
        <is>
          <t>Ref_Tower</t>
        </is>
      </c>
      <c r="E5" s="4" t="inlineStr">
        <is>
          <t>End_Panel_Ref</t>
        </is>
      </c>
      <c r="F5" s="4" t="n">
        <v>5</v>
      </c>
      <c r="G5" s="4" t="n">
        <v>5</v>
      </c>
      <c r="H5" s="4" t="n">
        <v>2286</v>
      </c>
      <c r="I5" s="4" t="n">
        <v>784</v>
      </c>
      <c r="J5" s="4" t="inlineStr"/>
    </row>
    <row r="6">
      <c r="A6" s="4" t="inlineStr">
        <is>
          <t>A1</t>
        </is>
      </c>
      <c r="B6" s="4" t="inlineStr">
        <is>
          <t>PVC board 18 mm</t>
        </is>
      </c>
      <c r="C6" s="4" t="n">
        <v>103</v>
      </c>
      <c r="D6" s="4" t="inlineStr">
        <is>
          <t>Island_2_Induction_750</t>
        </is>
      </c>
      <c r="E6" s="4" t="inlineStr">
        <is>
          <t>Plinth_Back</t>
        </is>
      </c>
      <c r="F6" s="4" t="n">
        <v>2295</v>
      </c>
      <c r="G6" s="4" t="n">
        <v>5</v>
      </c>
      <c r="H6" s="4" t="n">
        <v>100</v>
      </c>
      <c r="I6" s="4" t="n">
        <v>750</v>
      </c>
      <c r="J6" s="4" t="inlineStr">
        <is>
          <t>yes</t>
        </is>
      </c>
    </row>
    <row r="7">
      <c r="A7" s="4" t="inlineStr">
        <is>
          <t>A1</t>
        </is>
      </c>
      <c r="B7" s="4" t="inlineStr">
        <is>
          <t>PVC board 18 mm</t>
        </is>
      </c>
      <c r="C7" s="4" t="n">
        <v>161</v>
      </c>
      <c r="D7" s="4" t="inlineStr">
        <is>
          <t>Ref_Tower</t>
        </is>
      </c>
      <c r="E7" s="4" t="inlineStr">
        <is>
          <t>Filler_Ref</t>
        </is>
      </c>
      <c r="F7" s="4" t="n">
        <v>5</v>
      </c>
      <c r="G7" s="4" t="n">
        <v>793</v>
      </c>
      <c r="H7" s="4" t="n">
        <v>2286</v>
      </c>
      <c r="I7" s="4" t="n">
        <v>30</v>
      </c>
      <c r="J7" s="4" t="inlineStr"/>
    </row>
    <row r="8">
      <c r="A8" s="4" t="inlineStr">
        <is>
          <t>A1</t>
        </is>
      </c>
      <c r="B8" s="4" t="inlineStr">
        <is>
          <t>PVC board 18 mm</t>
        </is>
      </c>
      <c r="C8" s="4" t="n">
        <v>137</v>
      </c>
      <c r="D8" s="4" t="inlineStr">
        <is>
          <t>Pantry</t>
        </is>
      </c>
      <c r="E8" s="4" t="inlineStr">
        <is>
          <t>Filler_Pantry</t>
        </is>
      </c>
      <c r="F8" s="4" t="n">
        <v>5</v>
      </c>
      <c r="G8" s="4" t="n">
        <v>827</v>
      </c>
      <c r="H8" s="4" t="n">
        <v>2186</v>
      </c>
      <c r="I8" s="4" t="n">
        <v>47.2</v>
      </c>
      <c r="J8" s="4" t="inlineStr"/>
    </row>
    <row r="9">
      <c r="A9" s="4" t="inlineStr">
        <is>
          <t>A1</t>
        </is>
      </c>
      <c r="B9" s="4" t="inlineStr">
        <is>
          <t>PVC board 18 mm</t>
        </is>
      </c>
      <c r="C9" s="4" t="n">
        <v>167</v>
      </c>
      <c r="D9" s="4" t="inlineStr">
        <is>
          <t>Scribe_Strips</t>
        </is>
      </c>
      <c r="E9" s="4" t="inlineStr">
        <is>
          <t>Crown_Uppers</t>
        </is>
      </c>
      <c r="F9" s="4" t="n">
        <v>5</v>
      </c>
      <c r="G9" s="4" t="n">
        <v>878</v>
      </c>
      <c r="H9" s="4" t="n">
        <v>1938</v>
      </c>
      <c r="I9" s="4" t="n">
        <v>50.8</v>
      </c>
      <c r="J9" s="4" t="inlineStr"/>
    </row>
    <row r="10">
      <c r="A10" s="4" t="inlineStr">
        <is>
          <t>A1</t>
        </is>
      </c>
      <c r="B10" s="4" t="inlineStr">
        <is>
          <t>PVC board 18 mm</t>
        </is>
      </c>
      <c r="C10" s="4" t="n">
        <v>121</v>
      </c>
      <c r="D10" s="4" t="inlineStr">
        <is>
          <t>Island_3_Racks_450</t>
        </is>
      </c>
      <c r="E10" s="4" t="inlineStr">
        <is>
          <t>Plinth_Side_A</t>
        </is>
      </c>
      <c r="F10" s="4" t="n">
        <v>1947</v>
      </c>
      <c r="G10" s="4" t="n">
        <v>878</v>
      </c>
      <c r="H10" s="4" t="n">
        <v>454</v>
      </c>
      <c r="I10" s="4" t="n">
        <v>100</v>
      </c>
      <c r="J10" s="4" t="inlineStr"/>
    </row>
    <row r="11">
      <c r="A11" s="4" t="inlineStr">
        <is>
          <t>A1</t>
        </is>
      </c>
      <c r="B11" s="4" t="inlineStr">
        <is>
          <t>PVC board 18 mm</t>
        </is>
      </c>
      <c r="C11" s="4" t="n">
        <v>114</v>
      </c>
      <c r="D11" s="4" t="inlineStr">
        <is>
          <t>Island_3_Racks_450</t>
        </is>
      </c>
      <c r="E11" s="4" t="inlineStr">
        <is>
          <t>DrawerFront_3</t>
        </is>
      </c>
      <c r="F11" s="4" t="n">
        <v>5</v>
      </c>
      <c r="G11" s="4" t="n">
        <v>933</v>
      </c>
      <c r="H11" s="4" t="n">
        <v>447</v>
      </c>
      <c r="I11" s="4" t="n">
        <v>191</v>
      </c>
      <c r="J11" s="4" t="inlineStr"/>
    </row>
    <row r="12">
      <c r="A12" s="4" t="inlineStr">
        <is>
          <t>A1</t>
        </is>
      </c>
      <c r="B12" s="4" t="inlineStr">
        <is>
          <t>PVC board 18 mm</t>
        </is>
      </c>
      <c r="C12" s="4" t="n">
        <v>125</v>
      </c>
      <c r="D12" s="4" t="inlineStr">
        <is>
          <t>Island_3_Racks_450</t>
        </is>
      </c>
      <c r="E12" s="4" t="inlineStr">
        <is>
          <t>Stretcher_Back</t>
        </is>
      </c>
      <c r="F12" s="4" t="n">
        <v>456</v>
      </c>
      <c r="G12" s="4" t="n">
        <v>933</v>
      </c>
      <c r="H12" s="4" t="n">
        <v>414</v>
      </c>
      <c r="I12" s="4" t="n">
        <v>100</v>
      </c>
      <c r="J12" s="4" t="inlineStr"/>
    </row>
    <row r="13">
      <c r="A13" s="4" t="inlineStr">
        <is>
          <t>A1</t>
        </is>
      </c>
      <c r="B13" s="4" t="inlineStr">
        <is>
          <t>PVC board 18 mm</t>
        </is>
      </c>
      <c r="C13" s="4" t="n">
        <v>51</v>
      </c>
      <c r="D13" s="4" t="inlineStr">
        <is>
          <t>Base_Racks_400</t>
        </is>
      </c>
      <c r="E13" s="4" t="inlineStr">
        <is>
          <t>Plinth_Back</t>
        </is>
      </c>
      <c r="F13" s="4" t="n">
        <v>874</v>
      </c>
      <c r="G13" s="4" t="n">
        <v>933</v>
      </c>
      <c r="H13" s="4" t="n">
        <v>400</v>
      </c>
      <c r="I13" s="4" t="n">
        <v>100</v>
      </c>
      <c r="J13" s="4" t="inlineStr"/>
    </row>
    <row r="14">
      <c r="A14" s="4" t="inlineStr">
        <is>
          <t>A1</t>
        </is>
      </c>
      <c r="B14" s="4" t="inlineStr">
        <is>
          <t>PVC board 18 mm</t>
        </is>
      </c>
      <c r="C14" s="4" t="n">
        <v>64</v>
      </c>
      <c r="D14" s="4" t="inlineStr">
        <is>
          <t>Base_Sink_900</t>
        </is>
      </c>
      <c r="E14" s="4" t="inlineStr">
        <is>
          <t>Kick_Side_A</t>
        </is>
      </c>
      <c r="F14" s="4" t="n">
        <v>1278</v>
      </c>
      <c r="G14" s="4" t="n">
        <v>933</v>
      </c>
      <c r="H14" s="4" t="n">
        <v>400</v>
      </c>
      <c r="I14" s="4" t="n">
        <v>73</v>
      </c>
      <c r="J14" s="4" t="inlineStr"/>
    </row>
    <row r="15">
      <c r="A15" s="4" t="inlineStr">
        <is>
          <t>A1</t>
        </is>
      </c>
      <c r="B15" s="4" t="inlineStr">
        <is>
          <t>PVC board 18 mm</t>
        </is>
      </c>
      <c r="C15" s="4" t="n">
        <v>122</v>
      </c>
      <c r="D15" s="4" t="inlineStr">
        <is>
          <t>Island_3_Racks_450</t>
        </is>
      </c>
      <c r="E15" s="4" t="inlineStr">
        <is>
          <t>Plinth_Side_B</t>
        </is>
      </c>
      <c r="F15" s="4" t="n">
        <v>1947</v>
      </c>
      <c r="G15" s="4" t="n">
        <v>982</v>
      </c>
      <c r="H15" s="4" t="n">
        <v>454</v>
      </c>
      <c r="I15" s="4" t="n">
        <v>100</v>
      </c>
      <c r="J15" s="4" t="inlineStr"/>
    </row>
    <row r="16">
      <c r="A16" s="4" t="inlineStr">
        <is>
          <t>A1</t>
        </is>
      </c>
      <c r="B16" s="4" t="inlineStr">
        <is>
          <t>PVC board 18 mm</t>
        </is>
      </c>
      <c r="C16" s="4" t="n">
        <v>65</v>
      </c>
      <c r="D16" s="4" t="inlineStr">
        <is>
          <t>Base_Sink_900</t>
        </is>
      </c>
      <c r="E16" s="4" t="inlineStr">
        <is>
          <t>Kick_Side_B</t>
        </is>
      </c>
      <c r="F16" s="4" t="n">
        <v>1278</v>
      </c>
      <c r="G16" s="4" t="n">
        <v>1010</v>
      </c>
      <c r="H16" s="4" t="n">
        <v>400</v>
      </c>
      <c r="I16" s="4" t="n">
        <v>73</v>
      </c>
      <c r="J16" s="4" t="inlineStr"/>
    </row>
    <row r="17">
      <c r="A17" s="4" t="inlineStr">
        <is>
          <t>A1</t>
        </is>
      </c>
      <c r="B17" s="4" t="inlineStr">
        <is>
          <t>PVC board 18 mm</t>
        </is>
      </c>
      <c r="C17" s="4" t="n">
        <v>126</v>
      </c>
      <c r="D17" s="4" t="inlineStr">
        <is>
          <t>Island_3_Racks_450</t>
        </is>
      </c>
      <c r="E17" s="4" t="inlineStr">
        <is>
          <t>Stretcher_Front</t>
        </is>
      </c>
      <c r="F17" s="4" t="n">
        <v>456</v>
      </c>
      <c r="G17" s="4" t="n">
        <v>1037</v>
      </c>
      <c r="H17" s="4" t="n">
        <v>414</v>
      </c>
      <c r="I17" s="4" t="n">
        <v>100</v>
      </c>
      <c r="J17" s="4" t="inlineStr"/>
    </row>
    <row r="18">
      <c r="A18" s="4" t="inlineStr">
        <is>
          <t>A1</t>
        </is>
      </c>
      <c r="B18" s="4" t="inlineStr">
        <is>
          <t>PVC board 18 mm</t>
        </is>
      </c>
      <c r="C18" s="4" t="n">
        <v>49</v>
      </c>
      <c r="D18" s="4" t="inlineStr">
        <is>
          <t>Base_Racks_400</t>
        </is>
      </c>
      <c r="E18" s="4" t="inlineStr">
        <is>
          <t>Kick_Side_A</t>
        </is>
      </c>
      <c r="F18" s="4" t="n">
        <v>874</v>
      </c>
      <c r="G18" s="4" t="n">
        <v>1037</v>
      </c>
      <c r="H18" s="4" t="n">
        <v>400</v>
      </c>
      <c r="I18" s="4" t="n">
        <v>73</v>
      </c>
      <c r="J18" s="4" t="inlineStr"/>
    </row>
    <row r="19">
      <c r="A19" s="4" t="inlineStr">
        <is>
          <t>A1</t>
        </is>
      </c>
      <c r="B19" s="4" t="inlineStr">
        <is>
          <t>PVC board 18 mm</t>
        </is>
      </c>
      <c r="C19" s="4" t="n">
        <v>149</v>
      </c>
      <c r="D19" s="4" t="inlineStr">
        <is>
          <t>Pantry_600</t>
        </is>
      </c>
      <c r="E19" s="4" t="inlineStr">
        <is>
          <t>Plinth_Side_A</t>
        </is>
      </c>
      <c r="F19" s="4" t="n">
        <v>1947</v>
      </c>
      <c r="G19" s="4" t="n">
        <v>1086</v>
      </c>
      <c r="H19" s="4" t="n">
        <v>454</v>
      </c>
      <c r="I19" s="4" t="n">
        <v>100</v>
      </c>
      <c r="J19" s="4" t="inlineStr"/>
    </row>
    <row r="20">
      <c r="A20" s="4" t="inlineStr">
        <is>
          <t>A1</t>
        </is>
      </c>
      <c r="B20" s="4" t="inlineStr">
        <is>
          <t>PVC board 18 mm</t>
        </is>
      </c>
      <c r="C20" s="4" t="n">
        <v>84</v>
      </c>
      <c r="D20" s="4" t="inlineStr">
        <is>
          <t>Island_1_Racks_450</t>
        </is>
      </c>
      <c r="E20" s="4" t="inlineStr">
        <is>
          <t>Kick_Side_A</t>
        </is>
      </c>
      <c r="F20" s="4" t="n">
        <v>1278</v>
      </c>
      <c r="G20" s="4" t="n">
        <v>1087</v>
      </c>
      <c r="H20" s="4" t="n">
        <v>400</v>
      </c>
      <c r="I20" s="4" t="n">
        <v>73</v>
      </c>
      <c r="J20" s="4" t="inlineStr"/>
    </row>
    <row r="21">
      <c r="A21" s="4" t="inlineStr">
        <is>
          <t>A1</t>
        </is>
      </c>
      <c r="B21" s="4" t="inlineStr">
        <is>
          <t>PVC board 18 mm</t>
        </is>
      </c>
      <c r="C21" s="4" t="n">
        <v>50</v>
      </c>
      <c r="D21" s="4" t="inlineStr">
        <is>
          <t>Base_Racks_400</t>
        </is>
      </c>
      <c r="E21" s="4" t="inlineStr">
        <is>
          <t>Kick_Side_B</t>
        </is>
      </c>
      <c r="F21" s="4" t="n">
        <v>874</v>
      </c>
      <c r="G21" s="4" t="n">
        <v>1114</v>
      </c>
      <c r="H21" s="4" t="n">
        <v>400</v>
      </c>
      <c r="I21" s="4" t="n">
        <v>73</v>
      </c>
      <c r="J21" s="4" t="inlineStr"/>
    </row>
    <row r="22">
      <c r="A22" s="4" t="inlineStr">
        <is>
          <t>A1</t>
        </is>
      </c>
      <c r="B22" s="4" t="inlineStr">
        <is>
          <t>PVC board 18 mm</t>
        </is>
      </c>
      <c r="C22" s="4" t="n">
        <v>82</v>
      </c>
      <c r="D22" s="4" t="inlineStr">
        <is>
          <t>Island_1_Racks_450</t>
        </is>
      </c>
      <c r="E22" s="4" t="inlineStr">
        <is>
          <t>Kick_DrawerFront</t>
        </is>
      </c>
      <c r="F22" s="4" t="n">
        <v>5</v>
      </c>
      <c r="G22" s="4" t="n">
        <v>1128</v>
      </c>
      <c r="H22" s="4" t="n">
        <v>447</v>
      </c>
      <c r="I22" s="4" t="n">
        <v>87</v>
      </c>
      <c r="J22" s="4" t="inlineStr"/>
    </row>
    <row r="23">
      <c r="A23" s="4" t="inlineStr">
        <is>
          <t>A1</t>
        </is>
      </c>
      <c r="B23" s="4" t="inlineStr">
        <is>
          <t>PVC board 18 mm</t>
        </is>
      </c>
      <c r="C23" s="4" t="n">
        <v>13</v>
      </c>
      <c r="D23" s="4" t="inlineStr">
        <is>
          <t>Back_Appliance_Racks_900</t>
        </is>
      </c>
      <c r="E23" s="4" t="inlineStr">
        <is>
          <t>Kick_Side_A</t>
        </is>
      </c>
      <c r="F23" s="4" t="n">
        <v>456</v>
      </c>
      <c r="G23" s="4" t="n">
        <v>1141</v>
      </c>
      <c r="H23" s="4" t="n">
        <v>400</v>
      </c>
      <c r="I23" s="4" t="n">
        <v>73</v>
      </c>
      <c r="J23" s="4" t="inlineStr"/>
    </row>
    <row r="24">
      <c r="A24" s="4" t="inlineStr">
        <is>
          <t>A2</t>
        </is>
      </c>
      <c r="B24" s="4" t="inlineStr">
        <is>
          <t>PVC board 18 mm</t>
        </is>
      </c>
      <c r="C24" s="4" t="n">
        <v>162</v>
      </c>
      <c r="D24" s="4" t="inlineStr">
        <is>
          <t>Ref_Tower</t>
        </is>
      </c>
      <c r="E24" s="4" t="inlineStr">
        <is>
          <t>Tall_Panel</t>
        </is>
      </c>
      <c r="F24" s="4" t="n">
        <v>5</v>
      </c>
      <c r="G24" s="4" t="n">
        <v>5</v>
      </c>
      <c r="H24" s="4" t="n">
        <v>2286</v>
      </c>
      <c r="I24" s="4" t="n">
        <v>784</v>
      </c>
      <c r="J24" s="4" t="inlineStr"/>
    </row>
    <row r="25">
      <c r="A25" s="4" t="inlineStr">
        <is>
          <t>A2</t>
        </is>
      </c>
      <c r="B25" s="4" t="inlineStr">
        <is>
          <t>PVC board 18 mm</t>
        </is>
      </c>
      <c r="C25" s="4" t="n">
        <v>108</v>
      </c>
      <c r="D25" s="4" t="inlineStr">
        <is>
          <t>Island_2_Induction_750</t>
        </is>
      </c>
      <c r="E25" s="4" t="inlineStr">
        <is>
          <t>Stretcher_Back</t>
        </is>
      </c>
      <c r="F25" s="4" t="n">
        <v>2295</v>
      </c>
      <c r="G25" s="4" t="n">
        <v>5</v>
      </c>
      <c r="H25" s="4" t="n">
        <v>100</v>
      </c>
      <c r="I25" s="4" t="n">
        <v>714</v>
      </c>
      <c r="J25" s="4" t="inlineStr">
        <is>
          <t>yes</t>
        </is>
      </c>
    </row>
    <row r="26">
      <c r="A26" s="4" t="inlineStr">
        <is>
          <t>A2</t>
        </is>
      </c>
      <c r="B26" s="4" t="inlineStr">
        <is>
          <t>PVC board 18 mm</t>
        </is>
      </c>
      <c r="C26" s="4" t="n">
        <v>219</v>
      </c>
      <c r="D26" s="4" t="inlineStr">
        <is>
          <t>Upper_Sink_900</t>
        </is>
      </c>
      <c r="E26" s="4" t="inlineStr">
        <is>
          <t>Side_A</t>
        </is>
      </c>
      <c r="F26" s="4" t="n">
        <v>5</v>
      </c>
      <c r="G26" s="4" t="n">
        <v>793</v>
      </c>
      <c r="H26" s="4" t="n">
        <v>914</v>
      </c>
      <c r="I26" s="4" t="n">
        <v>294</v>
      </c>
      <c r="J26" s="4" t="inlineStr"/>
    </row>
    <row r="27">
      <c r="A27" s="4" t="inlineStr">
        <is>
          <t>A2</t>
        </is>
      </c>
      <c r="B27" s="4" t="inlineStr">
        <is>
          <t>PVC board 18 mm</t>
        </is>
      </c>
      <c r="C27" s="4" t="n">
        <v>220</v>
      </c>
      <c r="D27" s="4" t="inlineStr">
        <is>
          <t>Upper_Sink_900</t>
        </is>
      </c>
      <c r="E27" s="4" t="inlineStr">
        <is>
          <t>Side_B</t>
        </is>
      </c>
      <c r="F27" s="4" t="n">
        <v>923</v>
      </c>
      <c r="G27" s="4" t="n">
        <v>793</v>
      </c>
      <c r="H27" s="4" t="n">
        <v>914</v>
      </c>
      <c r="I27" s="4" t="n">
        <v>294</v>
      </c>
      <c r="J27" s="4" t="inlineStr"/>
    </row>
    <row r="28">
      <c r="A28" s="4" t="inlineStr">
        <is>
          <t>A2</t>
        </is>
      </c>
      <c r="B28" s="4" t="inlineStr">
        <is>
          <t>PVC board 18 mm</t>
        </is>
      </c>
      <c r="C28" s="4" t="n">
        <v>189</v>
      </c>
      <c r="D28" s="4" t="inlineStr">
        <is>
          <t>Upper_Hood_620</t>
        </is>
      </c>
      <c r="E28" s="4" t="inlineStr">
        <is>
          <t>Bottom</t>
        </is>
      </c>
      <c r="F28" s="4" t="n">
        <v>1841</v>
      </c>
      <c r="G28" s="4" t="n">
        <v>793</v>
      </c>
      <c r="H28" s="4" t="n">
        <v>584</v>
      </c>
      <c r="I28" s="4" t="n">
        <v>294</v>
      </c>
      <c r="J28" s="4" t="inlineStr"/>
    </row>
    <row r="29">
      <c r="A29" s="4" t="inlineStr">
        <is>
          <t>A2</t>
        </is>
      </c>
      <c r="B29" s="4" t="inlineStr">
        <is>
          <t>PVC board 18 mm</t>
        </is>
      </c>
      <c r="C29" s="4" t="n">
        <v>201</v>
      </c>
      <c r="D29" s="4" t="inlineStr">
        <is>
          <t>Upper_Over_Washer</t>
        </is>
      </c>
      <c r="E29" s="4" t="inlineStr">
        <is>
          <t>Pipe_Chase_Side</t>
        </is>
      </c>
      <c r="F29" s="4" t="n">
        <v>5</v>
      </c>
      <c r="G29" s="4" t="n">
        <v>1091</v>
      </c>
      <c r="H29" s="4" t="n">
        <v>914</v>
      </c>
      <c r="I29" s="4" t="n">
        <v>124</v>
      </c>
      <c r="J29" s="4" t="inlineStr"/>
    </row>
    <row r="30">
      <c r="A30" s="4" t="inlineStr">
        <is>
          <t>A2</t>
        </is>
      </c>
      <c r="B30" s="4" t="inlineStr">
        <is>
          <t>PVC board 18 mm</t>
        </is>
      </c>
      <c r="C30" s="4" t="n">
        <v>15</v>
      </c>
      <c r="D30" s="4" t="inlineStr">
        <is>
          <t>Back_Appliance_Racks_900</t>
        </is>
      </c>
      <c r="E30" s="4" t="inlineStr">
        <is>
          <t>Plinth_Back</t>
        </is>
      </c>
      <c r="F30" s="4" t="n">
        <v>923</v>
      </c>
      <c r="G30" s="4" t="n">
        <v>1091</v>
      </c>
      <c r="H30" s="4" t="n">
        <v>900</v>
      </c>
      <c r="I30" s="4" t="n">
        <v>100</v>
      </c>
      <c r="J30" s="4" t="inlineStr"/>
    </row>
    <row r="31">
      <c r="A31" s="4" t="inlineStr">
        <is>
          <t>A2</t>
        </is>
      </c>
      <c r="B31" s="4" t="inlineStr">
        <is>
          <t>PVC board 18 mm</t>
        </is>
      </c>
      <c r="C31" s="4" t="n">
        <v>131</v>
      </c>
      <c r="D31" s="4" t="inlineStr">
        <is>
          <t>Over_Ref_Cabinet</t>
        </is>
      </c>
      <c r="E31" s="4" t="inlineStr">
        <is>
          <t>Pipe_Chase_Front</t>
        </is>
      </c>
      <c r="F31" s="4" t="n">
        <v>1841</v>
      </c>
      <c r="G31" s="4" t="n">
        <v>1091</v>
      </c>
      <c r="H31" s="4" t="n">
        <v>457</v>
      </c>
      <c r="I31" s="4" t="n">
        <v>122</v>
      </c>
      <c r="J31" s="4" t="inlineStr"/>
    </row>
    <row r="32">
      <c r="A32" s="4" t="inlineStr">
        <is>
          <t>A3</t>
        </is>
      </c>
      <c r="B32" s="4" t="inlineStr">
        <is>
          <t>PVC board 18 mm</t>
        </is>
      </c>
      <c r="C32" s="4" t="n">
        <v>139</v>
      </c>
      <c r="D32" s="4" t="inlineStr">
        <is>
          <t>Pantry_600</t>
        </is>
      </c>
      <c r="E32" s="4" t="inlineStr">
        <is>
          <t>Back</t>
        </is>
      </c>
      <c r="F32" s="4" t="n">
        <v>5</v>
      </c>
      <c r="G32" s="4" t="n">
        <v>5</v>
      </c>
      <c r="H32" s="4" t="n">
        <v>2186</v>
      </c>
      <c r="I32" s="4" t="n">
        <v>600</v>
      </c>
      <c r="J32" s="4" t="inlineStr"/>
    </row>
    <row r="33">
      <c r="A33" s="4" t="inlineStr">
        <is>
          <t>A3</t>
        </is>
      </c>
      <c r="B33" s="4" t="inlineStr">
        <is>
          <t>PVC board 18 mm</t>
        </is>
      </c>
      <c r="C33" s="4" t="n">
        <v>148</v>
      </c>
      <c r="D33" s="4" t="inlineStr">
        <is>
          <t>Pantry_600</t>
        </is>
      </c>
      <c r="E33" s="4" t="inlineStr">
        <is>
          <t>Plinth_Back</t>
        </is>
      </c>
      <c r="F33" s="4" t="n">
        <v>2195</v>
      </c>
      <c r="G33" s="4" t="n">
        <v>5</v>
      </c>
      <c r="H33" s="4" t="n">
        <v>100</v>
      </c>
      <c r="I33" s="4" t="n">
        <v>600</v>
      </c>
      <c r="J33" s="4" t="inlineStr">
        <is>
          <t>yes</t>
        </is>
      </c>
    </row>
    <row r="34">
      <c r="A34" s="4" t="inlineStr">
        <is>
          <t>A3</t>
        </is>
      </c>
      <c r="B34" s="4" t="inlineStr">
        <is>
          <t>PVC board 18 mm</t>
        </is>
      </c>
      <c r="C34" s="4" t="n">
        <v>34</v>
      </c>
      <c r="D34" s="4" t="inlineStr">
        <is>
          <t>Back_Prep_Racks_600</t>
        </is>
      </c>
      <c r="E34" s="4" t="inlineStr">
        <is>
          <t>Plinth_Side_A</t>
        </is>
      </c>
      <c r="F34" s="4" t="n">
        <v>2299</v>
      </c>
      <c r="G34" s="4" t="n">
        <v>5</v>
      </c>
      <c r="H34" s="4" t="n">
        <v>100</v>
      </c>
      <c r="I34" s="4" t="n">
        <v>454</v>
      </c>
      <c r="J34" s="4" t="inlineStr">
        <is>
          <t>yes</t>
        </is>
      </c>
    </row>
    <row r="35">
      <c r="A35" s="4" t="inlineStr">
        <is>
          <t>A3</t>
        </is>
      </c>
      <c r="B35" s="4" t="inlineStr">
        <is>
          <t>PVC board 18 mm</t>
        </is>
      </c>
      <c r="C35" s="4" t="n">
        <v>157</v>
      </c>
      <c r="D35" s="4" t="inlineStr">
        <is>
          <t>Pantry_600</t>
        </is>
      </c>
      <c r="E35" s="4" t="inlineStr">
        <is>
          <t>Side_A</t>
        </is>
      </c>
      <c r="F35" s="4" t="n">
        <v>5</v>
      </c>
      <c r="G35" s="4" t="n">
        <v>609</v>
      </c>
      <c r="H35" s="4" t="n">
        <v>2186</v>
      </c>
      <c r="I35" s="4" t="n">
        <v>574</v>
      </c>
      <c r="J35" s="4" t="inlineStr"/>
    </row>
    <row r="36">
      <c r="A36" s="4" t="inlineStr">
        <is>
          <t>A3</t>
        </is>
      </c>
      <c r="B36" s="4" t="inlineStr">
        <is>
          <t>PVC board 18 mm</t>
        </is>
      </c>
      <c r="C36" s="4" t="n">
        <v>27</v>
      </c>
      <c r="D36" s="4" t="inlineStr">
        <is>
          <t>Back_Prep_Racks_600</t>
        </is>
      </c>
      <c r="E36" s="4" t="inlineStr">
        <is>
          <t>DrawerFront_3</t>
        </is>
      </c>
      <c r="F36" s="4" t="n">
        <v>2195</v>
      </c>
      <c r="G36" s="4" t="n">
        <v>609</v>
      </c>
      <c r="H36" s="4" t="n">
        <v>191</v>
      </c>
      <c r="I36" s="4" t="n">
        <v>597</v>
      </c>
      <c r="J36" s="4" t="inlineStr">
        <is>
          <t>yes</t>
        </is>
      </c>
    </row>
    <row r="37">
      <c r="A37" s="4" t="inlineStr">
        <is>
          <t>A4</t>
        </is>
      </c>
      <c r="B37" s="4" t="inlineStr">
        <is>
          <t>PVC board 18 mm</t>
        </is>
      </c>
      <c r="C37" s="4" t="n">
        <v>158</v>
      </c>
      <c r="D37" s="4" t="inlineStr">
        <is>
          <t>Pantry_600</t>
        </is>
      </c>
      <c r="E37" s="4" t="inlineStr">
        <is>
          <t>Side_B</t>
        </is>
      </c>
      <c r="F37" s="4" t="n">
        <v>5</v>
      </c>
      <c r="G37" s="4" t="n">
        <v>5</v>
      </c>
      <c r="H37" s="4" t="n">
        <v>2186</v>
      </c>
      <c r="I37" s="4" t="n">
        <v>574</v>
      </c>
      <c r="J37" s="4" t="inlineStr"/>
    </row>
    <row r="38">
      <c r="A38" s="4" t="inlineStr">
        <is>
          <t>A4</t>
        </is>
      </c>
      <c r="B38" s="4" t="inlineStr">
        <is>
          <t>PVC board 18 mm</t>
        </is>
      </c>
      <c r="C38" s="4" t="n">
        <v>87</v>
      </c>
      <c r="D38" s="4" t="inlineStr">
        <is>
          <t>Island_1_Racks_450</t>
        </is>
      </c>
      <c r="E38" s="4" t="inlineStr">
        <is>
          <t>Plinth_Side_A</t>
        </is>
      </c>
      <c r="F38" s="4" t="n">
        <v>2195</v>
      </c>
      <c r="G38" s="4" t="n">
        <v>5</v>
      </c>
      <c r="H38" s="4" t="n">
        <v>100</v>
      </c>
      <c r="I38" s="4" t="n">
        <v>454</v>
      </c>
      <c r="J38" s="4" t="inlineStr">
        <is>
          <t>yes</t>
        </is>
      </c>
    </row>
    <row r="39">
      <c r="A39" s="4" t="inlineStr">
        <is>
          <t>A4</t>
        </is>
      </c>
      <c r="B39" s="4" t="inlineStr">
        <is>
          <t>PVC board 18 mm</t>
        </is>
      </c>
      <c r="C39" s="4" t="n">
        <v>88</v>
      </c>
      <c r="D39" s="4" t="inlineStr">
        <is>
          <t>Island_1_Racks_450</t>
        </is>
      </c>
      <c r="E39" s="4" t="inlineStr">
        <is>
          <t>Plinth_Side_B</t>
        </is>
      </c>
      <c r="F39" s="4" t="n">
        <v>2299</v>
      </c>
      <c r="G39" s="4" t="n">
        <v>5</v>
      </c>
      <c r="H39" s="4" t="n">
        <v>100</v>
      </c>
      <c r="I39" s="4" t="n">
        <v>454</v>
      </c>
      <c r="J39" s="4" t="inlineStr">
        <is>
          <t>yes</t>
        </is>
      </c>
    </row>
    <row r="40">
      <c r="A40" s="4" t="inlineStr">
        <is>
          <t>A4</t>
        </is>
      </c>
      <c r="B40" s="4" t="inlineStr">
        <is>
          <t>PVC board 18 mm</t>
        </is>
      </c>
      <c r="C40" s="4" t="n">
        <v>141</v>
      </c>
      <c r="D40" s="4" t="inlineStr">
        <is>
          <t>Pantry_600</t>
        </is>
      </c>
      <c r="E40" s="4" t="inlineStr">
        <is>
          <t>Door_Lower</t>
        </is>
      </c>
      <c r="F40" s="4" t="n">
        <v>5</v>
      </c>
      <c r="G40" s="4" t="n">
        <v>583</v>
      </c>
      <c r="H40" s="4" t="n">
        <v>1269</v>
      </c>
      <c r="I40" s="4" t="n">
        <v>597</v>
      </c>
      <c r="J40" s="4" t="inlineStr"/>
    </row>
    <row r="41">
      <c r="A41" s="4" t="inlineStr">
        <is>
          <t>A4</t>
        </is>
      </c>
      <c r="B41" s="4" t="inlineStr">
        <is>
          <t>PVC board 18 mm</t>
        </is>
      </c>
      <c r="C41" s="4" t="n">
        <v>127</v>
      </c>
      <c r="D41" s="4" t="inlineStr">
        <is>
          <t>Over_Ref_Cabinet</t>
        </is>
      </c>
      <c r="E41" s="4" t="inlineStr">
        <is>
          <t>Back</t>
        </is>
      </c>
      <c r="F41" s="4" t="n">
        <v>1278</v>
      </c>
      <c r="G41" s="4" t="n">
        <v>583</v>
      </c>
      <c r="H41" s="4" t="n">
        <v>950</v>
      </c>
      <c r="I41" s="4" t="n">
        <v>457</v>
      </c>
      <c r="J41" s="4" t="inlineStr"/>
    </row>
    <row r="42">
      <c r="A42" s="4" t="inlineStr">
        <is>
          <t>A4</t>
        </is>
      </c>
      <c r="B42" s="4" t="inlineStr">
        <is>
          <t>PVC board 18 mm</t>
        </is>
      </c>
      <c r="C42" s="4" t="n">
        <v>33</v>
      </c>
      <c r="D42" s="4" t="inlineStr">
        <is>
          <t>Back_Prep_Racks_600</t>
        </is>
      </c>
      <c r="E42" s="4" t="inlineStr">
        <is>
          <t>Plinth_Back</t>
        </is>
      </c>
      <c r="F42" s="4" t="n">
        <v>2232</v>
      </c>
      <c r="G42" s="4" t="n">
        <v>583</v>
      </c>
      <c r="H42" s="4" t="n">
        <v>100</v>
      </c>
      <c r="I42" s="4" t="n">
        <v>600</v>
      </c>
      <c r="J42" s="4" t="inlineStr">
        <is>
          <t>yes</t>
        </is>
      </c>
    </row>
    <row r="43">
      <c r="A43" s="4" t="inlineStr">
        <is>
          <t>A4</t>
        </is>
      </c>
      <c r="B43" s="4" t="inlineStr">
        <is>
          <t>PVC board 18 mm</t>
        </is>
      </c>
      <c r="C43" s="4" t="n">
        <v>32</v>
      </c>
      <c r="D43" s="4" t="inlineStr">
        <is>
          <t>Back_Prep_Racks_600</t>
        </is>
      </c>
      <c r="E43" s="4" t="inlineStr">
        <is>
          <t>Kick_Side_B</t>
        </is>
      </c>
      <c r="F43" s="4" t="n">
        <v>2336</v>
      </c>
      <c r="G43" s="4" t="n">
        <v>583</v>
      </c>
      <c r="H43" s="4" t="n">
        <v>73</v>
      </c>
      <c r="I43" s="4" t="n">
        <v>400</v>
      </c>
      <c r="J43" s="4" t="inlineStr">
        <is>
          <t>yes</t>
        </is>
      </c>
    </row>
    <row r="44">
      <c r="A44" s="4" t="inlineStr">
        <is>
          <t>A4</t>
        </is>
      </c>
      <c r="B44" s="4" t="inlineStr">
        <is>
          <t>PVC board 18 mm</t>
        </is>
      </c>
      <c r="C44" s="4" t="n">
        <v>200</v>
      </c>
      <c r="D44" s="4" t="inlineStr">
        <is>
          <t>Upper_Over_Washer</t>
        </is>
      </c>
      <c r="E44" s="4" t="inlineStr">
        <is>
          <t>Pipe_Chase_Front</t>
        </is>
      </c>
      <c r="F44" s="4" t="n">
        <v>1278</v>
      </c>
      <c r="G44" s="4" t="n">
        <v>1044</v>
      </c>
      <c r="H44" s="4" t="n">
        <v>914</v>
      </c>
      <c r="I44" s="4" t="n">
        <v>142</v>
      </c>
      <c r="J44" s="4" t="inlineStr"/>
    </row>
    <row r="45">
      <c r="A45" s="4" t="inlineStr">
        <is>
          <t>A5</t>
        </is>
      </c>
      <c r="B45" s="4" t="inlineStr">
        <is>
          <t>PVC board 18 mm</t>
        </is>
      </c>
      <c r="C45" s="4" t="n">
        <v>73</v>
      </c>
      <c r="D45" s="4" t="inlineStr">
        <is>
          <t>Island</t>
        </is>
      </c>
      <c r="E45" s="4" t="inlineStr">
        <is>
          <t>Island_Back_Panel (seating side)</t>
        </is>
      </c>
      <c r="F45" s="4" t="n">
        <v>5</v>
      </c>
      <c r="G45" s="4" t="n">
        <v>5</v>
      </c>
      <c r="H45" s="4" t="n">
        <v>1650</v>
      </c>
      <c r="I45" s="4" t="n">
        <v>876</v>
      </c>
      <c r="J45" s="4" t="inlineStr"/>
    </row>
    <row r="46">
      <c r="A46" s="4" t="inlineStr">
        <is>
          <t>A5</t>
        </is>
      </c>
      <c r="B46" s="4" t="inlineStr">
        <is>
          <t>PVC board 18 mm</t>
        </is>
      </c>
      <c r="C46" s="4" t="n">
        <v>128</v>
      </c>
      <c r="D46" s="4" t="inlineStr">
        <is>
          <t>Over_Ref_Cabinet</t>
        </is>
      </c>
      <c r="E46" s="4" t="inlineStr">
        <is>
          <t>Bottom</t>
        </is>
      </c>
      <c r="F46" s="4" t="n">
        <v>1659</v>
      </c>
      <c r="G46" s="4" t="n">
        <v>5</v>
      </c>
      <c r="H46" s="4" t="n">
        <v>748</v>
      </c>
      <c r="I46" s="4" t="n">
        <v>914</v>
      </c>
      <c r="J46" s="4" t="inlineStr">
        <is>
          <t>yes</t>
        </is>
      </c>
    </row>
    <row r="47">
      <c r="A47" s="4" t="inlineStr">
        <is>
          <t>A5</t>
        </is>
      </c>
      <c r="B47" s="4" t="inlineStr">
        <is>
          <t>PVC board 18 mm</t>
        </is>
      </c>
      <c r="C47" s="4" t="n">
        <v>166</v>
      </c>
      <c r="D47" s="4" t="inlineStr">
        <is>
          <t>Scribe_Strips</t>
        </is>
      </c>
      <c r="E47" s="4" t="inlineStr">
        <is>
          <t>Crown_Ref</t>
        </is>
      </c>
      <c r="F47" s="4" t="n">
        <v>5</v>
      </c>
      <c r="G47" s="4" t="n">
        <v>885</v>
      </c>
      <c r="H47" s="4" t="n">
        <v>1016</v>
      </c>
      <c r="I47" s="4" t="n">
        <v>50.8</v>
      </c>
      <c r="J47" s="4" t="inlineStr"/>
    </row>
    <row r="48">
      <c r="A48" s="4" t="inlineStr">
        <is>
          <t>A5</t>
        </is>
      </c>
      <c r="B48" s="4" t="inlineStr">
        <is>
          <t>PVC board 18 mm</t>
        </is>
      </c>
      <c r="C48" s="4" t="n">
        <v>197</v>
      </c>
      <c r="D48" s="4" t="inlineStr">
        <is>
          <t>Upper_Over_Washer</t>
        </is>
      </c>
      <c r="E48" s="4" t="inlineStr">
        <is>
          <t>Bottom</t>
        </is>
      </c>
      <c r="F48" s="4" t="n">
        <v>1025</v>
      </c>
      <c r="G48" s="4" t="n">
        <v>885</v>
      </c>
      <c r="H48" s="4" t="n">
        <v>616.8</v>
      </c>
      <c r="I48" s="4" t="n">
        <v>294</v>
      </c>
      <c r="J48" s="4" t="inlineStr"/>
    </row>
    <row r="49">
      <c r="A49" s="4" t="inlineStr">
        <is>
          <t>A5</t>
        </is>
      </c>
      <c r="B49" s="4" t="inlineStr">
        <is>
          <t>PVC board 18 mm</t>
        </is>
      </c>
      <c r="C49" s="4" t="n">
        <v>202</v>
      </c>
      <c r="D49" s="4" t="inlineStr">
        <is>
          <t>Upper_Over_Washer</t>
        </is>
      </c>
      <c r="E49" s="4" t="inlineStr">
        <is>
          <t>Shelf_1</t>
        </is>
      </c>
      <c r="F49" s="4" t="n">
        <v>1659</v>
      </c>
      <c r="G49" s="4" t="n">
        <v>923</v>
      </c>
      <c r="H49" s="4" t="n">
        <v>616.8</v>
      </c>
      <c r="I49" s="4" t="n">
        <v>256</v>
      </c>
      <c r="J49" s="4" t="inlineStr"/>
    </row>
    <row r="50">
      <c r="A50" s="4" t="inlineStr">
        <is>
          <t>A5</t>
        </is>
      </c>
      <c r="B50" s="4" t="inlineStr">
        <is>
          <t>PVC board 18 mm</t>
        </is>
      </c>
      <c r="C50" s="4" t="n">
        <v>8</v>
      </c>
      <c r="D50" s="4" t="inlineStr">
        <is>
          <t>Back_Appliance_Racks_900</t>
        </is>
      </c>
      <c r="E50" s="4" t="inlineStr">
        <is>
          <t>DrawerFront_2</t>
        </is>
      </c>
      <c r="F50" s="4" t="n">
        <v>5</v>
      </c>
      <c r="G50" s="4" t="n">
        <v>940</v>
      </c>
      <c r="H50" s="4" t="n">
        <v>897</v>
      </c>
      <c r="I50" s="4" t="n">
        <v>268.6</v>
      </c>
      <c r="J50" s="4" t="inlineStr"/>
    </row>
    <row r="51">
      <c r="A51" s="4" t="inlineStr">
        <is>
          <t>A6</t>
        </is>
      </c>
      <c r="B51" s="4" t="inlineStr">
        <is>
          <t>PVC board 18 mm</t>
        </is>
      </c>
      <c r="C51" s="4" t="n">
        <v>179</v>
      </c>
      <c r="D51" s="4" t="inlineStr">
        <is>
          <t>Upper_Appliance_900</t>
        </is>
      </c>
      <c r="E51" s="4" t="inlineStr">
        <is>
          <t>Back</t>
        </is>
      </c>
      <c r="F51" s="4" t="n">
        <v>5</v>
      </c>
      <c r="G51" s="4" t="n">
        <v>5</v>
      </c>
      <c r="H51" s="4" t="n">
        <v>914</v>
      </c>
      <c r="I51" s="4" t="n">
        <v>900</v>
      </c>
      <c r="J51" s="4" t="inlineStr"/>
    </row>
    <row r="52">
      <c r="A52" s="4" t="inlineStr">
        <is>
          <t>A6</t>
        </is>
      </c>
      <c r="B52" s="4" t="inlineStr">
        <is>
          <t>PVC board 18 mm</t>
        </is>
      </c>
      <c r="C52" s="4" t="n">
        <v>215</v>
      </c>
      <c r="D52" s="4" t="inlineStr">
        <is>
          <t>Upper_Sink_900</t>
        </is>
      </c>
      <c r="E52" s="4" t="inlineStr">
        <is>
          <t>Back</t>
        </is>
      </c>
      <c r="F52" s="4" t="n">
        <v>923</v>
      </c>
      <c r="G52" s="4" t="n">
        <v>5</v>
      </c>
      <c r="H52" s="4" t="n">
        <v>914</v>
      </c>
      <c r="I52" s="4" t="n">
        <v>900</v>
      </c>
      <c r="J52" s="4" t="inlineStr"/>
    </row>
    <row r="53">
      <c r="A53" s="4" t="inlineStr">
        <is>
          <t>A6</t>
        </is>
      </c>
      <c r="B53" s="4" t="inlineStr">
        <is>
          <t>PVC board 18 mm</t>
        </is>
      </c>
      <c r="C53" s="4" t="n">
        <v>40</v>
      </c>
      <c r="D53" s="4" t="inlineStr">
        <is>
          <t>Back_Wall_Cabinets</t>
        </is>
      </c>
      <c r="E53" s="4" t="inlineStr">
        <is>
          <t>End_Panel_Back_Upper</t>
        </is>
      </c>
      <c r="F53" s="4" t="n">
        <v>1841</v>
      </c>
      <c r="G53" s="4" t="n">
        <v>5</v>
      </c>
      <c r="H53" s="4" t="n">
        <v>330</v>
      </c>
      <c r="I53" s="4" t="n">
        <v>914</v>
      </c>
      <c r="J53" s="4" t="inlineStr">
        <is>
          <t>yes</t>
        </is>
      </c>
    </row>
    <row r="54">
      <c r="A54" s="4" t="inlineStr">
        <is>
          <t>A6</t>
        </is>
      </c>
      <c r="B54" s="4" t="inlineStr">
        <is>
          <t>PVC board 18 mm</t>
        </is>
      </c>
      <c r="C54" s="4" t="n">
        <v>9</v>
      </c>
      <c r="D54" s="4" t="inlineStr">
        <is>
          <t>Back_Appliance_Racks_900</t>
        </is>
      </c>
      <c r="E54" s="4" t="inlineStr">
        <is>
          <t>DrawerFront_3</t>
        </is>
      </c>
      <c r="F54" s="4" t="n">
        <v>2175</v>
      </c>
      <c r="G54" s="4" t="n">
        <v>5</v>
      </c>
      <c r="H54" s="4" t="n">
        <v>191</v>
      </c>
      <c r="I54" s="4" t="n">
        <v>897</v>
      </c>
      <c r="J54" s="4" t="inlineStr">
        <is>
          <t>yes</t>
        </is>
      </c>
    </row>
    <row r="55">
      <c r="A55" s="4" t="inlineStr">
        <is>
          <t>A6</t>
        </is>
      </c>
      <c r="B55" s="4" t="inlineStr">
        <is>
          <t>PVC board 18 mm</t>
        </is>
      </c>
      <c r="C55" s="4" t="n">
        <v>176</v>
      </c>
      <c r="D55" s="4" t="inlineStr">
        <is>
          <t>Upper_400</t>
        </is>
      </c>
      <c r="E55" s="4" t="inlineStr">
        <is>
          <t>Side_A</t>
        </is>
      </c>
      <c r="F55" s="4" t="n">
        <v>5</v>
      </c>
      <c r="G55" s="4" t="n">
        <v>909</v>
      </c>
      <c r="H55" s="4" t="n">
        <v>914</v>
      </c>
      <c r="I55" s="4" t="n">
        <v>294</v>
      </c>
      <c r="J55" s="4" t="inlineStr"/>
    </row>
    <row r="56">
      <c r="A56" s="4" t="inlineStr">
        <is>
          <t>A6</t>
        </is>
      </c>
      <c r="B56" s="4" t="inlineStr">
        <is>
          <t>PVC board 18 mm</t>
        </is>
      </c>
      <c r="C56" s="4" t="n">
        <v>177</v>
      </c>
      <c r="D56" s="4" t="inlineStr">
        <is>
          <t>Upper_400</t>
        </is>
      </c>
      <c r="E56" s="4" t="inlineStr">
        <is>
          <t>Side_B</t>
        </is>
      </c>
      <c r="F56" s="4" t="n">
        <v>923</v>
      </c>
      <c r="G56" s="4" t="n">
        <v>909</v>
      </c>
      <c r="H56" s="4" t="n">
        <v>914</v>
      </c>
      <c r="I56" s="4" t="n">
        <v>294</v>
      </c>
      <c r="J56" s="4" t="inlineStr"/>
    </row>
    <row r="57">
      <c r="A57" s="4" t="inlineStr">
        <is>
          <t>A6</t>
        </is>
      </c>
      <c r="B57" s="4" t="inlineStr">
        <is>
          <t>PVC board 18 mm</t>
        </is>
      </c>
      <c r="C57" s="4" t="n">
        <v>191</v>
      </c>
      <c r="D57" s="4" t="inlineStr">
        <is>
          <t>Upper_Hood_620</t>
        </is>
      </c>
      <c r="E57" s="4" t="inlineStr">
        <is>
          <t>Shelf_1</t>
        </is>
      </c>
      <c r="F57" s="4" t="n">
        <v>1841</v>
      </c>
      <c r="G57" s="4" t="n">
        <v>923</v>
      </c>
      <c r="H57" s="4" t="n">
        <v>584</v>
      </c>
      <c r="I57" s="4" t="n">
        <v>224</v>
      </c>
      <c r="J57" s="4" t="inlineStr"/>
    </row>
    <row r="58">
      <c r="A58" s="4" t="inlineStr">
        <is>
          <t>A7</t>
        </is>
      </c>
      <c r="B58" s="4" t="inlineStr">
        <is>
          <t>PVC board 18 mm</t>
        </is>
      </c>
      <c r="C58" s="4" t="n">
        <v>136</v>
      </c>
      <c r="D58" s="4" t="inlineStr">
        <is>
          <t>Over_Ref_Cabinet</t>
        </is>
      </c>
      <c r="E58" s="4" t="inlineStr">
        <is>
          <t>Top</t>
        </is>
      </c>
      <c r="F58" s="4" t="n">
        <v>5</v>
      </c>
      <c r="G58" s="4" t="n">
        <v>5</v>
      </c>
      <c r="H58" s="4" t="n">
        <v>914</v>
      </c>
      <c r="I58" s="4" t="n">
        <v>748</v>
      </c>
      <c r="J58" s="4" t="inlineStr"/>
    </row>
    <row r="59">
      <c r="A59" s="4" t="inlineStr">
        <is>
          <t>A7</t>
        </is>
      </c>
      <c r="B59" s="4" t="inlineStr">
        <is>
          <t>PVC board 18 mm</t>
        </is>
      </c>
      <c r="C59" s="4" t="n">
        <v>133</v>
      </c>
      <c r="D59" s="4" t="inlineStr">
        <is>
          <t>Over_Ref_Cabinet</t>
        </is>
      </c>
      <c r="E59" s="4" t="inlineStr">
        <is>
          <t>Shelf_1</t>
        </is>
      </c>
      <c r="F59" s="4" t="n">
        <v>923</v>
      </c>
      <c r="G59" s="4" t="n">
        <v>5</v>
      </c>
      <c r="H59" s="4" t="n">
        <v>914</v>
      </c>
      <c r="I59" s="4" t="n">
        <v>710</v>
      </c>
      <c r="J59" s="4" t="inlineStr"/>
    </row>
    <row r="60">
      <c r="A60" s="4" t="inlineStr">
        <is>
          <t>A7</t>
        </is>
      </c>
      <c r="B60" s="4" t="inlineStr">
        <is>
          <t>PVC board 18 mm</t>
        </is>
      </c>
      <c r="C60" s="4" t="n">
        <v>204</v>
      </c>
      <c r="D60" s="4" t="inlineStr">
        <is>
          <t>Upper_Over_Washer</t>
        </is>
      </c>
      <c r="E60" s="4" t="inlineStr">
        <is>
          <t>Side_A</t>
        </is>
      </c>
      <c r="F60" s="4" t="n">
        <v>1841</v>
      </c>
      <c r="G60" s="4" t="n">
        <v>5</v>
      </c>
      <c r="H60" s="4" t="n">
        <v>294</v>
      </c>
      <c r="I60" s="4" t="n">
        <v>914</v>
      </c>
      <c r="J60" s="4" t="inlineStr">
        <is>
          <t>yes</t>
        </is>
      </c>
    </row>
    <row r="61">
      <c r="A61" s="4" t="inlineStr">
        <is>
          <t>A7</t>
        </is>
      </c>
      <c r="B61" s="4" t="inlineStr">
        <is>
          <t>PVC board 18 mm</t>
        </is>
      </c>
      <c r="C61" s="4" t="n">
        <v>205</v>
      </c>
      <c r="D61" s="4" t="inlineStr">
        <is>
          <t>Upper_Over_Washer</t>
        </is>
      </c>
      <c r="E61" s="4" t="inlineStr">
        <is>
          <t>Side_B</t>
        </is>
      </c>
      <c r="F61" s="4" t="n">
        <v>2139</v>
      </c>
      <c r="G61" s="4" t="n">
        <v>5</v>
      </c>
      <c r="H61" s="4" t="n">
        <v>294</v>
      </c>
      <c r="I61" s="4" t="n">
        <v>914</v>
      </c>
      <c r="J61" s="4" t="inlineStr">
        <is>
          <t>yes</t>
        </is>
      </c>
    </row>
    <row r="62">
      <c r="A62" s="4" t="inlineStr">
        <is>
          <t>A7</t>
        </is>
      </c>
      <c r="B62" s="4" t="inlineStr">
        <is>
          <t>PVC board 18 mm</t>
        </is>
      </c>
      <c r="C62" s="4" t="n">
        <v>185</v>
      </c>
      <c r="D62" s="4" t="inlineStr">
        <is>
          <t>Upper_Appliance_900</t>
        </is>
      </c>
      <c r="E62" s="4" t="inlineStr">
        <is>
          <t>Side_A</t>
        </is>
      </c>
      <c r="F62" s="4" t="n">
        <v>923</v>
      </c>
      <c r="G62" s="4" t="n">
        <v>719</v>
      </c>
      <c r="H62" s="4" t="n">
        <v>914</v>
      </c>
      <c r="I62" s="4" t="n">
        <v>364</v>
      </c>
      <c r="J62" s="4" t="inlineStr"/>
    </row>
    <row r="63">
      <c r="A63" s="4" t="inlineStr">
        <is>
          <t>A7</t>
        </is>
      </c>
      <c r="B63" s="4" t="inlineStr">
        <is>
          <t>PVC board 18 mm</t>
        </is>
      </c>
      <c r="C63" s="4" t="n">
        <v>171</v>
      </c>
      <c r="D63" s="4" t="inlineStr">
        <is>
          <t>Upper_400</t>
        </is>
      </c>
      <c r="E63" s="4" t="inlineStr">
        <is>
          <t>Back</t>
        </is>
      </c>
      <c r="F63" s="4" t="n">
        <v>5</v>
      </c>
      <c r="G63" s="4" t="n">
        <v>757</v>
      </c>
      <c r="H63" s="4" t="n">
        <v>914</v>
      </c>
      <c r="I63" s="4" t="n">
        <v>400</v>
      </c>
      <c r="J63" s="4" t="inlineStr"/>
    </row>
    <row r="64">
      <c r="A64" s="4" t="inlineStr">
        <is>
          <t>A7</t>
        </is>
      </c>
      <c r="B64" s="4" t="inlineStr">
        <is>
          <t>PVC board 18 mm</t>
        </is>
      </c>
      <c r="C64" s="4" t="n">
        <v>66</v>
      </c>
      <c r="D64" s="4" t="inlineStr">
        <is>
          <t>Base_Sink_900</t>
        </is>
      </c>
      <c r="E64" s="4" t="inlineStr">
        <is>
          <t>Plinth_Back</t>
        </is>
      </c>
      <c r="F64" s="4" t="n">
        <v>923</v>
      </c>
      <c r="G64" s="4" t="n">
        <v>1087</v>
      </c>
      <c r="H64" s="4" t="n">
        <v>900</v>
      </c>
      <c r="I64" s="4" t="n">
        <v>100</v>
      </c>
      <c r="J64" s="4" t="inlineStr"/>
    </row>
    <row r="65">
      <c r="A65" s="4" t="inlineStr">
        <is>
          <t>A7</t>
        </is>
      </c>
      <c r="B65" s="4" t="inlineStr">
        <is>
          <t>PVC board 18 mm</t>
        </is>
      </c>
      <c r="C65" s="4" t="n">
        <v>163</v>
      </c>
      <c r="D65" s="4" t="inlineStr">
        <is>
          <t>Scribe_Strips</t>
        </is>
      </c>
      <c r="E65" s="4" t="inlineStr">
        <is>
          <t>Crown_Back_Appliance</t>
        </is>
      </c>
      <c r="F65" s="4" t="n">
        <v>5</v>
      </c>
      <c r="G65" s="4" t="n">
        <v>1161</v>
      </c>
      <c r="H65" s="4" t="n">
        <v>900</v>
      </c>
      <c r="I65" s="4" t="n">
        <v>50.8</v>
      </c>
      <c r="J65" s="4" t="inlineStr"/>
    </row>
    <row r="66">
      <c r="A66" s="4" t="inlineStr">
        <is>
          <t>A8</t>
        </is>
      </c>
      <c r="B66" s="4" t="inlineStr">
        <is>
          <t>PVC board 18 mm</t>
        </is>
      </c>
      <c r="C66" s="4" t="n">
        <v>196</v>
      </c>
      <c r="D66" s="4" t="inlineStr">
        <is>
          <t>Upper_Over_Washer</t>
        </is>
      </c>
      <c r="E66" s="4" t="inlineStr">
        <is>
          <t>Back</t>
        </is>
      </c>
      <c r="F66" s="4" t="n">
        <v>5</v>
      </c>
      <c r="G66" s="4" t="n">
        <v>5</v>
      </c>
      <c r="H66" s="4" t="n">
        <v>914</v>
      </c>
      <c r="I66" s="4" t="n">
        <v>652.8</v>
      </c>
      <c r="J66" s="4" t="inlineStr"/>
    </row>
    <row r="67">
      <c r="A67" s="4" t="inlineStr">
        <is>
          <t>A8</t>
        </is>
      </c>
      <c r="B67" s="4" t="inlineStr">
        <is>
          <t>PVC board 18 mm</t>
        </is>
      </c>
      <c r="C67" s="4" t="n">
        <v>207</v>
      </c>
      <c r="D67" s="4" t="inlineStr">
        <is>
          <t>Upper_Prep_600</t>
        </is>
      </c>
      <c r="E67" s="4" t="inlineStr">
        <is>
          <t>Back</t>
        </is>
      </c>
      <c r="F67" s="4" t="n">
        <v>923</v>
      </c>
      <c r="G67" s="4" t="n">
        <v>5</v>
      </c>
      <c r="H67" s="4" t="n">
        <v>914</v>
      </c>
      <c r="I67" s="4" t="n">
        <v>600</v>
      </c>
      <c r="J67" s="4" t="inlineStr"/>
    </row>
    <row r="68">
      <c r="A68" s="4" t="inlineStr">
        <is>
          <t>A8</t>
        </is>
      </c>
      <c r="B68" s="4" t="inlineStr">
        <is>
          <t>PVC board 18 mm</t>
        </is>
      </c>
      <c r="C68" s="4" t="n">
        <v>192</v>
      </c>
      <c r="D68" s="4" t="inlineStr">
        <is>
          <t>Upper_Hood_620</t>
        </is>
      </c>
      <c r="E68" s="4" t="inlineStr">
        <is>
          <t>Shelf_2</t>
        </is>
      </c>
      <c r="F68" s="4" t="n">
        <v>1841</v>
      </c>
      <c r="G68" s="4" t="n">
        <v>5</v>
      </c>
      <c r="H68" s="4" t="n">
        <v>584</v>
      </c>
      <c r="I68" s="4" t="n">
        <v>224</v>
      </c>
      <c r="J68" s="4" t="inlineStr"/>
    </row>
    <row r="69">
      <c r="A69" s="4" t="inlineStr">
        <is>
          <t>A8</t>
        </is>
      </c>
      <c r="B69" s="4" t="inlineStr">
        <is>
          <t>PVC board 18 mm</t>
        </is>
      </c>
      <c r="C69" s="4" t="n">
        <v>42</v>
      </c>
      <c r="D69" s="4" t="inlineStr">
        <is>
          <t>Base_Racks_400</t>
        </is>
      </c>
      <c r="E69" s="4" t="inlineStr">
        <is>
          <t>Bottom</t>
        </is>
      </c>
      <c r="F69" s="4" t="n">
        <v>1841</v>
      </c>
      <c r="G69" s="4" t="n">
        <v>233</v>
      </c>
      <c r="H69" s="4" t="n">
        <v>574</v>
      </c>
      <c r="I69" s="4" t="n">
        <v>364</v>
      </c>
      <c r="J69" s="4" t="inlineStr"/>
    </row>
    <row r="70">
      <c r="A70" s="4" t="inlineStr">
        <is>
          <t>A8</t>
        </is>
      </c>
      <c r="B70" s="4" t="inlineStr">
        <is>
          <t>PVC board 18 mm</t>
        </is>
      </c>
      <c r="C70" s="4" t="n">
        <v>212</v>
      </c>
      <c r="D70" s="4" t="inlineStr">
        <is>
          <t>Upper_Prep_600</t>
        </is>
      </c>
      <c r="E70" s="4" t="inlineStr">
        <is>
          <t>Side_A</t>
        </is>
      </c>
      <c r="F70" s="4" t="n">
        <v>923</v>
      </c>
      <c r="G70" s="4" t="n">
        <v>609</v>
      </c>
      <c r="H70" s="4" t="n">
        <v>914</v>
      </c>
      <c r="I70" s="4" t="n">
        <v>294</v>
      </c>
      <c r="J70" s="4" t="inlineStr"/>
    </row>
    <row r="71">
      <c r="A71" s="4" t="inlineStr">
        <is>
          <t>A8</t>
        </is>
      </c>
      <c r="B71" s="4" t="inlineStr">
        <is>
          <t>PVC board 18 mm</t>
        </is>
      </c>
      <c r="C71" s="4" t="n">
        <v>24</v>
      </c>
      <c r="D71" s="4" t="inlineStr">
        <is>
          <t>Back_Prep_Racks_600</t>
        </is>
      </c>
      <c r="E71" s="4" t="inlineStr">
        <is>
          <t>Bottom</t>
        </is>
      </c>
      <c r="F71" s="4" t="n">
        <v>1841</v>
      </c>
      <c r="G71" s="4" t="n">
        <v>609</v>
      </c>
      <c r="H71" s="4" t="n">
        <v>574</v>
      </c>
      <c r="I71" s="4" t="n">
        <v>564</v>
      </c>
      <c r="J71" s="4" t="inlineStr"/>
    </row>
    <row r="72">
      <c r="A72" s="4" t="inlineStr">
        <is>
          <t>A8</t>
        </is>
      </c>
      <c r="B72" s="4" t="inlineStr">
        <is>
          <t>PVC board 18 mm</t>
        </is>
      </c>
      <c r="C72" s="4" t="n">
        <v>186</v>
      </c>
      <c r="D72" s="4" t="inlineStr">
        <is>
          <t>Upper_Appliance_900</t>
        </is>
      </c>
      <c r="E72" s="4" t="inlineStr">
        <is>
          <t>Side_B</t>
        </is>
      </c>
      <c r="F72" s="4" t="n">
        <v>5</v>
      </c>
      <c r="G72" s="4" t="n">
        <v>662</v>
      </c>
      <c r="H72" s="4" t="n">
        <v>914</v>
      </c>
      <c r="I72" s="4" t="n">
        <v>364</v>
      </c>
      <c r="J72" s="4" t="inlineStr"/>
    </row>
    <row r="73">
      <c r="A73" s="4" t="inlineStr">
        <is>
          <t>A8</t>
        </is>
      </c>
      <c r="B73" s="4" t="inlineStr">
        <is>
          <t>PVC board 18 mm</t>
        </is>
      </c>
      <c r="C73" s="4" t="n">
        <v>213</v>
      </c>
      <c r="D73" s="4" t="inlineStr">
        <is>
          <t>Upper_Prep_600</t>
        </is>
      </c>
      <c r="E73" s="4" t="inlineStr">
        <is>
          <t>Side_B</t>
        </is>
      </c>
      <c r="F73" s="4" t="n">
        <v>923</v>
      </c>
      <c r="G73" s="4" t="n">
        <v>907</v>
      </c>
      <c r="H73" s="4" t="n">
        <v>914</v>
      </c>
      <c r="I73" s="4" t="n">
        <v>294</v>
      </c>
      <c r="J73" s="4" t="inlineStr"/>
    </row>
    <row r="74">
      <c r="A74" s="4" t="inlineStr">
        <is>
          <t>A8</t>
        </is>
      </c>
      <c r="B74" s="4" t="inlineStr">
        <is>
          <t>PVC board 18 mm</t>
        </is>
      </c>
      <c r="C74" s="4" t="n">
        <v>62</v>
      </c>
      <c r="D74" s="4" t="inlineStr">
        <is>
          <t>Base_Sink_900</t>
        </is>
      </c>
      <c r="E74" s="4" t="inlineStr">
        <is>
          <t>Kick_DrawerFront</t>
        </is>
      </c>
      <c r="F74" s="4" t="n">
        <v>5</v>
      </c>
      <c r="G74" s="4" t="n">
        <v>1030</v>
      </c>
      <c r="H74" s="4" t="n">
        <v>897</v>
      </c>
      <c r="I74" s="4" t="n">
        <v>87</v>
      </c>
      <c r="J74" s="4" t="inlineStr"/>
    </row>
    <row r="75">
      <c r="A75" s="4" t="inlineStr">
        <is>
          <t>A8</t>
        </is>
      </c>
      <c r="B75" s="4" t="inlineStr">
        <is>
          <t>PVC board 18 mm</t>
        </is>
      </c>
      <c r="C75" s="4" t="n">
        <v>12</v>
      </c>
      <c r="D75" s="4" t="inlineStr">
        <is>
          <t>Back_Appliance_Racks_900</t>
        </is>
      </c>
      <c r="E75" s="4" t="inlineStr">
        <is>
          <t>Kick_Inner_Front</t>
        </is>
      </c>
      <c r="F75" s="4" t="n">
        <v>5</v>
      </c>
      <c r="G75" s="4" t="n">
        <v>1121</v>
      </c>
      <c r="H75" s="4" t="n">
        <v>803</v>
      </c>
      <c r="I75" s="4" t="n">
        <v>73</v>
      </c>
      <c r="J75" s="4" t="inlineStr"/>
    </row>
    <row r="76">
      <c r="A76" s="4" t="inlineStr">
        <is>
          <t>A9</t>
        </is>
      </c>
      <c r="B76" s="4" t="inlineStr">
        <is>
          <t>PVC board 18 mm</t>
        </is>
      </c>
      <c r="C76" s="4" t="n">
        <v>142</v>
      </c>
      <c r="D76" s="4" t="inlineStr">
        <is>
          <t>Pantry_600</t>
        </is>
      </c>
      <c r="E76" s="4" t="inlineStr">
        <is>
          <t>Door_Upper</t>
        </is>
      </c>
      <c r="F76" s="4" t="n">
        <v>5</v>
      </c>
      <c r="G76" s="4" t="n">
        <v>5</v>
      </c>
      <c r="H76" s="4" t="n">
        <v>911</v>
      </c>
      <c r="I76" s="4" t="n">
        <v>597</v>
      </c>
      <c r="J76" s="4" t="inlineStr"/>
    </row>
    <row r="77">
      <c r="A77" s="4" t="inlineStr">
        <is>
          <t>A9</t>
        </is>
      </c>
      <c r="B77" s="4" t="inlineStr">
        <is>
          <t>PVC board 18 mm</t>
        </is>
      </c>
      <c r="C77" s="4" t="n">
        <v>181</v>
      </c>
      <c r="D77" s="4" t="inlineStr">
        <is>
          <t>Upper_Appliance_900</t>
        </is>
      </c>
      <c r="E77" s="4" t="inlineStr">
        <is>
          <t>Door_1</t>
        </is>
      </c>
      <c r="F77" s="4" t="n">
        <v>920</v>
      </c>
      <c r="G77" s="4" t="n">
        <v>5</v>
      </c>
      <c r="H77" s="4" t="n">
        <v>911</v>
      </c>
      <c r="I77" s="4" t="n">
        <v>447</v>
      </c>
      <c r="J77" s="4" t="inlineStr"/>
    </row>
    <row r="78">
      <c r="A78" s="4" t="inlineStr">
        <is>
          <t>A9</t>
        </is>
      </c>
      <c r="B78" s="4" t="inlineStr">
        <is>
          <t>PVC board 18 mm</t>
        </is>
      </c>
      <c r="C78" s="4" t="n">
        <v>195</v>
      </c>
      <c r="D78" s="4" t="inlineStr">
        <is>
          <t>Upper_Hood_620</t>
        </is>
      </c>
      <c r="E78" s="4" t="inlineStr">
        <is>
          <t>Top</t>
        </is>
      </c>
      <c r="F78" s="4" t="n">
        <v>1835</v>
      </c>
      <c r="G78" s="4" t="n">
        <v>5</v>
      </c>
      <c r="H78" s="4" t="n">
        <v>584</v>
      </c>
      <c r="I78" s="4" t="n">
        <v>294</v>
      </c>
      <c r="J78" s="4" t="inlineStr"/>
    </row>
    <row r="79">
      <c r="A79" s="4" t="inlineStr">
        <is>
          <t>A9</t>
        </is>
      </c>
      <c r="B79" s="4" t="inlineStr">
        <is>
          <t>PVC board 18 mm</t>
        </is>
      </c>
      <c r="C79" s="4" t="n">
        <v>35</v>
      </c>
      <c r="D79" s="4" t="inlineStr">
        <is>
          <t>Back_Prep_Racks_600</t>
        </is>
      </c>
      <c r="E79" s="4" t="inlineStr">
        <is>
          <t>Plinth_Side_B</t>
        </is>
      </c>
      <c r="F79" s="4" t="n">
        <v>1835</v>
      </c>
      <c r="G79" s="4" t="n">
        <v>303</v>
      </c>
      <c r="H79" s="4" t="n">
        <v>454</v>
      </c>
      <c r="I79" s="4" t="n">
        <v>100</v>
      </c>
      <c r="J79" s="4" t="inlineStr"/>
    </row>
    <row r="80">
      <c r="A80" s="4" t="inlineStr">
        <is>
          <t>A9</t>
        </is>
      </c>
      <c r="B80" s="4" t="inlineStr">
        <is>
          <t>PVC board 18 mm</t>
        </is>
      </c>
      <c r="C80" s="4" t="n">
        <v>182</v>
      </c>
      <c r="D80" s="4" t="inlineStr">
        <is>
          <t>Upper_Appliance_900</t>
        </is>
      </c>
      <c r="E80" s="4" t="inlineStr">
        <is>
          <t>Door_2</t>
        </is>
      </c>
      <c r="F80" s="4" t="n">
        <v>920</v>
      </c>
      <c r="G80" s="4" t="n">
        <v>456</v>
      </c>
      <c r="H80" s="4" t="n">
        <v>911</v>
      </c>
      <c r="I80" s="4" t="n">
        <v>447</v>
      </c>
      <c r="J80" s="4" t="inlineStr"/>
    </row>
    <row r="81">
      <c r="A81" s="4" t="inlineStr">
        <is>
          <t>A9</t>
        </is>
      </c>
      <c r="B81" s="4" t="inlineStr">
        <is>
          <t>PVC board 18 mm</t>
        </is>
      </c>
      <c r="C81" s="4" t="n">
        <v>134</v>
      </c>
      <c r="D81" s="4" t="inlineStr">
        <is>
          <t>Over_Ref_Cabinet</t>
        </is>
      </c>
      <c r="E81" s="4" t="inlineStr">
        <is>
          <t>Side_A</t>
        </is>
      </c>
      <c r="F81" s="4" t="n">
        <v>1835</v>
      </c>
      <c r="G81" s="4" t="n">
        <v>456</v>
      </c>
      <c r="H81" s="4" t="n">
        <v>457</v>
      </c>
      <c r="I81" s="4" t="n">
        <v>748</v>
      </c>
      <c r="J81" s="4" t="inlineStr">
        <is>
          <t>yes</t>
        </is>
      </c>
    </row>
    <row r="82">
      <c r="A82" s="4" t="inlineStr">
        <is>
          <t>A9</t>
        </is>
      </c>
      <c r="B82" s="4" t="inlineStr">
        <is>
          <t>PVC board 18 mm</t>
        </is>
      </c>
      <c r="C82" s="4" t="n">
        <v>97</v>
      </c>
      <c r="D82" s="4" t="inlineStr">
        <is>
          <t>Island_2_Induction_750</t>
        </is>
      </c>
      <c r="E82" s="4" t="inlineStr">
        <is>
          <t>DrawerFront_3</t>
        </is>
      </c>
      <c r="F82" s="4" t="n">
        <v>2296</v>
      </c>
      <c r="G82" s="4" t="n">
        <v>456</v>
      </c>
      <c r="H82" s="4" t="n">
        <v>117</v>
      </c>
      <c r="I82" s="4" t="n">
        <v>747</v>
      </c>
      <c r="J82" s="4" t="inlineStr">
        <is>
          <t>yes</t>
        </is>
      </c>
    </row>
    <row r="83">
      <c r="A83" s="4" t="inlineStr">
        <is>
          <t>A9</t>
        </is>
      </c>
      <c r="B83" s="4" t="inlineStr">
        <is>
          <t>PVC board 18 mm</t>
        </is>
      </c>
      <c r="C83" s="4" t="n">
        <v>209</v>
      </c>
      <c r="D83" s="4" t="inlineStr">
        <is>
          <t>Upper_Prep_600</t>
        </is>
      </c>
      <c r="E83" s="4" t="inlineStr">
        <is>
          <t>Door_1</t>
        </is>
      </c>
      <c r="F83" s="4" t="n">
        <v>5</v>
      </c>
      <c r="G83" s="4" t="n">
        <v>606</v>
      </c>
      <c r="H83" s="4" t="n">
        <v>911</v>
      </c>
      <c r="I83" s="4" t="n">
        <v>597</v>
      </c>
      <c r="J83" s="4" t="inlineStr"/>
    </row>
    <row r="84">
      <c r="A84" s="4" t="inlineStr">
        <is>
          <t>A9</t>
        </is>
      </c>
      <c r="B84" s="4" t="inlineStr">
        <is>
          <t>PVC board 18 mm</t>
        </is>
      </c>
      <c r="C84" s="4" t="n">
        <v>7</v>
      </c>
      <c r="D84" s="4" t="inlineStr">
        <is>
          <t>Back_Appliance_Racks_900</t>
        </is>
      </c>
      <c r="E84" s="4" t="inlineStr">
        <is>
          <t>DrawerFront_1</t>
        </is>
      </c>
      <c r="F84" s="4" t="n">
        <v>920</v>
      </c>
      <c r="G84" s="4" t="n">
        <v>907</v>
      </c>
      <c r="H84" s="4" t="n">
        <v>897</v>
      </c>
      <c r="I84" s="4" t="n">
        <v>307.4</v>
      </c>
      <c r="J84" s="4" t="inlineStr"/>
    </row>
    <row r="85">
      <c r="A85" s="4" t="inlineStr">
        <is>
          <t>A10</t>
        </is>
      </c>
      <c r="B85" s="4" t="inlineStr">
        <is>
          <t>PVC board 18 mm</t>
        </is>
      </c>
      <c r="C85" s="4" t="n">
        <v>217</v>
      </c>
      <c r="D85" s="4" t="inlineStr">
        <is>
          <t>Upper_Sink_900</t>
        </is>
      </c>
      <c r="E85" s="4" t="inlineStr">
        <is>
          <t>Door_1</t>
        </is>
      </c>
      <c r="F85" s="4" t="n">
        <v>5</v>
      </c>
      <c r="G85" s="4" t="n">
        <v>5</v>
      </c>
      <c r="H85" s="4" t="n">
        <v>911</v>
      </c>
      <c r="I85" s="4" t="n">
        <v>447</v>
      </c>
      <c r="J85" s="4" t="inlineStr"/>
    </row>
    <row r="86">
      <c r="A86" s="4" t="inlineStr">
        <is>
          <t>A10</t>
        </is>
      </c>
      <c r="B86" s="4" t="inlineStr">
        <is>
          <t>PVC board 18 mm</t>
        </is>
      </c>
      <c r="C86" s="4" t="n">
        <v>173</v>
      </c>
      <c r="D86" s="4" t="inlineStr">
        <is>
          <t>Upper_400</t>
        </is>
      </c>
      <c r="E86" s="4" t="inlineStr">
        <is>
          <t>Door_1</t>
        </is>
      </c>
      <c r="F86" s="4" t="n">
        <v>920</v>
      </c>
      <c r="G86" s="4" t="n">
        <v>5</v>
      </c>
      <c r="H86" s="4" t="n">
        <v>911</v>
      </c>
      <c r="I86" s="4" t="n">
        <v>397</v>
      </c>
      <c r="J86" s="4" t="inlineStr"/>
    </row>
    <row r="87">
      <c r="A87" s="4" t="inlineStr">
        <is>
          <t>A10</t>
        </is>
      </c>
      <c r="B87" s="4" t="inlineStr">
        <is>
          <t>PVC board 18 mm</t>
        </is>
      </c>
      <c r="C87" s="4" t="n">
        <v>25</v>
      </c>
      <c r="D87" s="4" t="inlineStr">
        <is>
          <t>Back_Prep_Racks_600</t>
        </is>
      </c>
      <c r="E87" s="4" t="inlineStr">
        <is>
          <t>DrawerFront_1</t>
        </is>
      </c>
      <c r="F87" s="4" t="n">
        <v>1835</v>
      </c>
      <c r="G87" s="4" t="n">
        <v>5</v>
      </c>
      <c r="H87" s="4" t="n">
        <v>597</v>
      </c>
      <c r="I87" s="4" t="n">
        <v>307.4</v>
      </c>
      <c r="J87" s="4" t="inlineStr"/>
    </row>
    <row r="88">
      <c r="A88" s="4" t="inlineStr">
        <is>
          <t>A10</t>
        </is>
      </c>
      <c r="B88" s="4" t="inlineStr">
        <is>
          <t>PVC board 18 mm</t>
        </is>
      </c>
      <c r="C88" s="4" t="n">
        <v>28</v>
      </c>
      <c r="D88" s="4" t="inlineStr">
        <is>
          <t>Back_Prep_Racks_600</t>
        </is>
      </c>
      <c r="E88" s="4" t="inlineStr">
        <is>
          <t>Kick_Back</t>
        </is>
      </c>
      <c r="F88" s="4" t="n">
        <v>1835</v>
      </c>
      <c r="G88" s="4" t="n">
        <v>316</v>
      </c>
      <c r="H88" s="4" t="n">
        <v>503</v>
      </c>
      <c r="I88" s="4" t="n">
        <v>73</v>
      </c>
      <c r="J88" s="4" t="inlineStr"/>
    </row>
    <row r="89">
      <c r="A89" s="4" t="inlineStr">
        <is>
          <t>A10</t>
        </is>
      </c>
      <c r="B89" s="4" t="inlineStr">
        <is>
          <t>PVC board 18 mm</t>
        </is>
      </c>
      <c r="C89" s="4" t="n">
        <v>198</v>
      </c>
      <c r="D89" s="4" t="inlineStr">
        <is>
          <t>Upper_Over_Washer</t>
        </is>
      </c>
      <c r="E89" s="4" t="inlineStr">
        <is>
          <t>Door_1</t>
        </is>
      </c>
      <c r="F89" s="4" t="n">
        <v>920</v>
      </c>
      <c r="G89" s="4" t="n">
        <v>406</v>
      </c>
      <c r="H89" s="4" t="n">
        <v>911</v>
      </c>
      <c r="I89" s="4" t="n">
        <v>323.4</v>
      </c>
      <c r="J89" s="4" t="inlineStr"/>
    </row>
    <row r="90">
      <c r="A90" s="4" t="inlineStr">
        <is>
          <t>A10</t>
        </is>
      </c>
      <c r="B90" s="4" t="inlineStr">
        <is>
          <t>PVC board 18 mm</t>
        </is>
      </c>
      <c r="C90" s="4" t="n">
        <v>63</v>
      </c>
      <c r="D90" s="4" t="inlineStr">
        <is>
          <t>Base_Sink_900</t>
        </is>
      </c>
      <c r="E90" s="4" t="inlineStr">
        <is>
          <t>Kick_Inner_Front</t>
        </is>
      </c>
      <c r="F90" s="4" t="n">
        <v>1835</v>
      </c>
      <c r="G90" s="4" t="n">
        <v>406</v>
      </c>
      <c r="H90" s="4" t="n">
        <v>73</v>
      </c>
      <c r="I90" s="4" t="n">
        <v>803</v>
      </c>
      <c r="J90" s="4" t="inlineStr">
        <is>
          <t>yes</t>
        </is>
      </c>
    </row>
    <row r="91">
      <c r="A91" s="4" t="inlineStr">
        <is>
          <t>A10</t>
        </is>
      </c>
      <c r="B91" s="4" t="inlineStr">
        <is>
          <t>PVC board 18 mm</t>
        </is>
      </c>
      <c r="C91" s="4" t="n">
        <v>110</v>
      </c>
      <c r="D91" s="4" t="inlineStr">
        <is>
          <t>Island_3_Racks_450</t>
        </is>
      </c>
      <c r="E91" s="4" t="inlineStr">
        <is>
          <t>Back</t>
        </is>
      </c>
      <c r="F91" s="4" t="n">
        <v>1912</v>
      </c>
      <c r="G91" s="4" t="n">
        <v>406</v>
      </c>
      <c r="H91" s="4" t="n">
        <v>450</v>
      </c>
      <c r="I91" s="4" t="n">
        <v>776</v>
      </c>
      <c r="J91" s="4" t="inlineStr">
        <is>
          <t>yes</t>
        </is>
      </c>
    </row>
    <row r="92">
      <c r="A92" s="4" t="inlineStr">
        <is>
          <t>A10</t>
        </is>
      </c>
      <c r="B92" s="4" t="inlineStr">
        <is>
          <t>PVC board 18 mm</t>
        </is>
      </c>
      <c r="C92" s="4" t="n">
        <v>218</v>
      </c>
      <c r="D92" s="4" t="inlineStr">
        <is>
          <t>Upper_Sink_900</t>
        </is>
      </c>
      <c r="E92" s="4" t="inlineStr">
        <is>
          <t>Door_2</t>
        </is>
      </c>
      <c r="F92" s="4" t="n">
        <v>5</v>
      </c>
      <c r="G92" s="4" t="n">
        <v>456</v>
      </c>
      <c r="H92" s="4" t="n">
        <v>911</v>
      </c>
      <c r="I92" s="4" t="n">
        <v>447</v>
      </c>
      <c r="J92" s="4" t="inlineStr"/>
    </row>
    <row r="93">
      <c r="A93" s="4" t="inlineStr">
        <is>
          <t>A10</t>
        </is>
      </c>
      <c r="B93" s="4" t="inlineStr">
        <is>
          <t>PVC board 18 mm</t>
        </is>
      </c>
      <c r="C93" s="4" t="n">
        <v>199</v>
      </c>
      <c r="D93" s="4" t="inlineStr">
        <is>
          <t>Upper_Over_Washer</t>
        </is>
      </c>
      <c r="E93" s="4" t="inlineStr">
        <is>
          <t>Door_2</t>
        </is>
      </c>
      <c r="F93" s="4" t="n">
        <v>920</v>
      </c>
      <c r="G93" s="4" t="n">
        <v>733</v>
      </c>
      <c r="H93" s="4" t="n">
        <v>911</v>
      </c>
      <c r="I93" s="4" t="n">
        <v>323.4</v>
      </c>
      <c r="J93" s="4" t="inlineStr"/>
    </row>
    <row r="94">
      <c r="A94" s="4" t="inlineStr">
        <is>
          <t>A10</t>
        </is>
      </c>
      <c r="B94" s="4" t="inlineStr">
        <is>
          <t>PVC board 18 mm</t>
        </is>
      </c>
      <c r="C94" s="4" t="n">
        <v>221</v>
      </c>
      <c r="D94" s="4" t="inlineStr">
        <is>
          <t>Upper_Sink_900</t>
        </is>
      </c>
      <c r="E94" s="4" t="inlineStr">
        <is>
          <t>Top</t>
        </is>
      </c>
      <c r="F94" s="4" t="n">
        <v>5</v>
      </c>
      <c r="G94" s="4" t="n">
        <v>907</v>
      </c>
      <c r="H94" s="4" t="n">
        <v>864</v>
      </c>
      <c r="I94" s="4" t="n">
        <v>294</v>
      </c>
      <c r="J94" s="4" t="inlineStr"/>
    </row>
    <row r="95">
      <c r="A95" s="4" t="inlineStr">
        <is>
          <t>A10</t>
        </is>
      </c>
      <c r="B95" s="4" t="inlineStr">
        <is>
          <t>PVC board 18 mm</t>
        </is>
      </c>
      <c r="C95" s="4" t="n">
        <v>11</v>
      </c>
      <c r="D95" s="4" t="inlineStr">
        <is>
          <t>Back_Appliance_Racks_900</t>
        </is>
      </c>
      <c r="E95" s="4" t="inlineStr">
        <is>
          <t>Kick_DrawerFront</t>
        </is>
      </c>
      <c r="F95" s="4" t="n">
        <v>920</v>
      </c>
      <c r="G95" s="4" t="n">
        <v>1061</v>
      </c>
      <c r="H95" s="4" t="n">
        <v>897</v>
      </c>
      <c r="I95" s="4" t="n">
        <v>87</v>
      </c>
      <c r="J95" s="4" t="inlineStr"/>
    </row>
    <row r="96">
      <c r="A96" s="4" t="inlineStr">
        <is>
          <t>A11</t>
        </is>
      </c>
      <c r="B96" s="4" t="inlineStr">
        <is>
          <t>PVC board 18 mm</t>
        </is>
      </c>
      <c r="C96" s="4" t="n">
        <v>5</v>
      </c>
      <c r="D96" s="4" t="inlineStr">
        <is>
          <t>Back_Appliance_Racks_900</t>
        </is>
      </c>
      <c r="E96" s="4" t="inlineStr">
        <is>
          <t>Back</t>
        </is>
      </c>
      <c r="F96" s="4" t="n">
        <v>5</v>
      </c>
      <c r="G96" s="4" t="n">
        <v>5</v>
      </c>
      <c r="H96" s="4" t="n">
        <v>900</v>
      </c>
      <c r="I96" s="4" t="n">
        <v>776</v>
      </c>
      <c r="J96" s="4" t="inlineStr"/>
    </row>
    <row r="97">
      <c r="A97" s="4" t="inlineStr">
        <is>
          <t>A11</t>
        </is>
      </c>
      <c r="B97" s="4" t="inlineStr">
        <is>
          <t>PVC board 18 mm</t>
        </is>
      </c>
      <c r="C97" s="4" t="n">
        <v>74</v>
      </c>
      <c r="D97" s="4" t="inlineStr">
        <is>
          <t>Island</t>
        </is>
      </c>
      <c r="E97" s="4" t="inlineStr">
        <is>
          <t>Island_End_Panel_A</t>
        </is>
      </c>
      <c r="F97" s="4" t="n">
        <v>909</v>
      </c>
      <c r="G97" s="4" t="n">
        <v>5</v>
      </c>
      <c r="H97" s="4" t="n">
        <v>876</v>
      </c>
      <c r="I97" s="4" t="n">
        <v>628</v>
      </c>
      <c r="J97" s="4" t="inlineStr"/>
    </row>
    <row r="98">
      <c r="A98" s="4" t="inlineStr">
        <is>
          <t>A11</t>
        </is>
      </c>
      <c r="B98" s="4" t="inlineStr">
        <is>
          <t>PVC board 18 mm</t>
        </is>
      </c>
      <c r="C98" s="4" t="n">
        <v>75</v>
      </c>
      <c r="D98" s="4" t="inlineStr">
        <is>
          <t>Island</t>
        </is>
      </c>
      <c r="E98" s="4" t="inlineStr">
        <is>
          <t>Island_End_Panel_B</t>
        </is>
      </c>
      <c r="F98" s="4" t="n">
        <v>1789</v>
      </c>
      <c r="G98" s="4" t="n">
        <v>5</v>
      </c>
      <c r="H98" s="4" t="n">
        <v>628</v>
      </c>
      <c r="I98" s="4" t="n">
        <v>876</v>
      </c>
      <c r="J98" s="4" t="inlineStr">
        <is>
          <t>yes</t>
        </is>
      </c>
    </row>
    <row r="99">
      <c r="A99" s="4" t="inlineStr">
        <is>
          <t>A11</t>
        </is>
      </c>
      <c r="B99" s="4" t="inlineStr">
        <is>
          <t>PVC board 18 mm</t>
        </is>
      </c>
      <c r="C99" s="4" t="n">
        <v>223</v>
      </c>
      <c r="D99" s="4" t="inlineStr">
        <is>
          <t>Washer_Bay</t>
        </is>
      </c>
      <c r="E99" s="4" t="inlineStr">
        <is>
          <t>End_Panel</t>
        </is>
      </c>
      <c r="F99" s="4" t="n">
        <v>909</v>
      </c>
      <c r="G99" s="4" t="n">
        <v>637</v>
      </c>
      <c r="H99" s="4" t="n">
        <v>876</v>
      </c>
      <c r="I99" s="4" t="n">
        <v>486</v>
      </c>
      <c r="J99" s="4" t="inlineStr"/>
    </row>
    <row r="100">
      <c r="A100" s="4" t="inlineStr">
        <is>
          <t>A11</t>
        </is>
      </c>
      <c r="B100" s="4" t="inlineStr">
        <is>
          <t>PVC board 18 mm</t>
        </is>
      </c>
      <c r="C100" s="4" t="n">
        <v>180</v>
      </c>
      <c r="D100" s="4" t="inlineStr">
        <is>
          <t>Upper_Appliance_900</t>
        </is>
      </c>
      <c r="E100" s="4" t="inlineStr">
        <is>
          <t>Bottom</t>
        </is>
      </c>
      <c r="F100" s="4" t="n">
        <v>5</v>
      </c>
      <c r="G100" s="4" t="n">
        <v>785</v>
      </c>
      <c r="H100" s="4" t="n">
        <v>864</v>
      </c>
      <c r="I100" s="4" t="n">
        <v>364</v>
      </c>
      <c r="J100" s="4" t="inlineStr"/>
    </row>
    <row r="101">
      <c r="A101" s="4" t="inlineStr">
        <is>
          <t>A11</t>
        </is>
      </c>
      <c r="B101" s="4" t="inlineStr">
        <is>
          <t>PVC board 18 mm</t>
        </is>
      </c>
      <c r="C101" s="4" t="n">
        <v>206</v>
      </c>
      <c r="D101" s="4" t="inlineStr">
        <is>
          <t>Upper_Over_Washer</t>
        </is>
      </c>
      <c r="E101" s="4" t="inlineStr">
        <is>
          <t>Top</t>
        </is>
      </c>
      <c r="F101" s="4" t="n">
        <v>1789</v>
      </c>
      <c r="G101" s="4" t="n">
        <v>885</v>
      </c>
      <c r="H101" s="4" t="n">
        <v>616.8</v>
      </c>
      <c r="I101" s="4" t="n">
        <v>294</v>
      </c>
      <c r="J101" s="4" t="inlineStr"/>
    </row>
    <row r="102">
      <c r="A102" s="4" t="inlineStr">
        <is>
          <t>A11</t>
        </is>
      </c>
      <c r="B102" s="4" t="inlineStr">
        <is>
          <t>PVC board 18 mm</t>
        </is>
      </c>
      <c r="C102" s="4" t="n">
        <v>10</v>
      </c>
      <c r="D102" s="4" t="inlineStr">
        <is>
          <t>Back_Appliance_Racks_900</t>
        </is>
      </c>
      <c r="E102" s="4" t="inlineStr">
        <is>
          <t>Kick_Back</t>
        </is>
      </c>
      <c r="F102" s="4" t="n">
        <v>909</v>
      </c>
      <c r="G102" s="4" t="n">
        <v>1127</v>
      </c>
      <c r="H102" s="4" t="n">
        <v>803</v>
      </c>
      <c r="I102" s="4" t="n">
        <v>73</v>
      </c>
      <c r="J102" s="4" t="inlineStr"/>
    </row>
    <row r="103">
      <c r="A103" s="4" t="inlineStr">
        <is>
          <t>A12</t>
        </is>
      </c>
      <c r="B103" s="4" t="inlineStr">
        <is>
          <t>PVC board 18 mm</t>
        </is>
      </c>
      <c r="C103" s="4" t="n">
        <v>22</v>
      </c>
      <c r="D103" s="4" t="inlineStr">
        <is>
          <t>Back_Base</t>
        </is>
      </c>
      <c r="E103" s="4" t="inlineStr">
        <is>
          <t>End_Panel_Back_Base</t>
        </is>
      </c>
      <c r="F103" s="4" t="n">
        <v>5</v>
      </c>
      <c r="G103" s="4" t="n">
        <v>5</v>
      </c>
      <c r="H103" s="4" t="n">
        <v>876</v>
      </c>
      <c r="I103" s="4" t="n">
        <v>610</v>
      </c>
      <c r="J103" s="4" t="inlineStr"/>
    </row>
    <row r="104">
      <c r="A104" s="4" t="inlineStr">
        <is>
          <t>A12</t>
        </is>
      </c>
      <c r="B104" s="4" t="inlineStr">
        <is>
          <t>PVC board 18 mm</t>
        </is>
      </c>
      <c r="C104" s="4" t="n">
        <v>224</v>
      </c>
      <c r="D104" s="4" t="inlineStr">
        <is>
          <t>Washer_Bay</t>
        </is>
      </c>
      <c r="E104" s="4" t="inlineStr">
        <is>
          <t>Panel_Stove_Side</t>
        </is>
      </c>
      <c r="F104" s="4" t="n">
        <v>885</v>
      </c>
      <c r="G104" s="4" t="n">
        <v>5</v>
      </c>
      <c r="H104" s="4" t="n">
        <v>876</v>
      </c>
      <c r="I104" s="4" t="n">
        <v>610</v>
      </c>
      <c r="J104" s="4" t="inlineStr"/>
    </row>
    <row r="105">
      <c r="A105" s="4" t="inlineStr">
        <is>
          <t>A12</t>
        </is>
      </c>
      <c r="B105" s="4" t="inlineStr">
        <is>
          <t>PVC board 18 mm</t>
        </is>
      </c>
      <c r="C105" s="4" t="n">
        <v>187</v>
      </c>
      <c r="D105" s="4" t="inlineStr">
        <is>
          <t>Upper_Appliance_900</t>
        </is>
      </c>
      <c r="E105" s="4" t="inlineStr">
        <is>
          <t>Top</t>
        </is>
      </c>
      <c r="F105" s="4" t="n">
        <v>1765</v>
      </c>
      <c r="G105" s="4" t="n">
        <v>5</v>
      </c>
      <c r="H105" s="4" t="n">
        <v>364</v>
      </c>
      <c r="I105" s="4" t="n">
        <v>864</v>
      </c>
      <c r="J105" s="4" t="inlineStr">
        <is>
          <t>yes</t>
        </is>
      </c>
    </row>
    <row r="106">
      <c r="A106" s="4" t="inlineStr">
        <is>
          <t>A12</t>
        </is>
      </c>
      <c r="B106" s="4" t="inlineStr">
        <is>
          <t>PVC board 18 mm</t>
        </is>
      </c>
      <c r="C106" s="4" t="n">
        <v>216</v>
      </c>
      <c r="D106" s="4" t="inlineStr">
        <is>
          <t>Upper_Sink_900</t>
        </is>
      </c>
      <c r="E106" s="4" t="inlineStr">
        <is>
          <t>Bottom</t>
        </is>
      </c>
      <c r="F106" s="4" t="n">
        <v>2133</v>
      </c>
      <c r="G106" s="4" t="n">
        <v>5</v>
      </c>
      <c r="H106" s="4" t="n">
        <v>294</v>
      </c>
      <c r="I106" s="4" t="n">
        <v>864</v>
      </c>
      <c r="J106" s="4" t="inlineStr">
        <is>
          <t>yes</t>
        </is>
      </c>
    </row>
    <row r="107">
      <c r="A107" s="4" t="inlineStr">
        <is>
          <t>A12</t>
        </is>
      </c>
      <c r="B107" s="4" t="inlineStr">
        <is>
          <t>PVC board 18 mm</t>
        </is>
      </c>
      <c r="C107" s="4" t="n">
        <v>58</v>
      </c>
      <c r="D107" s="4" t="inlineStr">
        <is>
          <t>Base_Sink_900</t>
        </is>
      </c>
      <c r="E107" s="4" t="inlineStr">
        <is>
          <t>Bottom</t>
        </is>
      </c>
      <c r="F107" s="4" t="n">
        <v>5</v>
      </c>
      <c r="G107" s="4" t="n">
        <v>619</v>
      </c>
      <c r="H107" s="4" t="n">
        <v>864</v>
      </c>
      <c r="I107" s="4" t="n">
        <v>592</v>
      </c>
      <c r="J107" s="4" t="inlineStr"/>
    </row>
    <row r="108">
      <c r="A108" s="4" t="inlineStr">
        <is>
          <t>A12</t>
        </is>
      </c>
      <c r="B108" s="4" t="inlineStr">
        <is>
          <t>PVC board 18 mm</t>
        </is>
      </c>
      <c r="C108" s="4" t="n">
        <v>6</v>
      </c>
      <c r="D108" s="4" t="inlineStr">
        <is>
          <t>Back_Appliance_Racks_900</t>
        </is>
      </c>
      <c r="E108" s="4" t="inlineStr">
        <is>
          <t>Bottom</t>
        </is>
      </c>
      <c r="F108" s="4" t="n">
        <v>885</v>
      </c>
      <c r="G108" s="4" t="n">
        <v>619</v>
      </c>
      <c r="H108" s="4" t="n">
        <v>864</v>
      </c>
      <c r="I108" s="4" t="n">
        <v>574</v>
      </c>
      <c r="J108" s="4" t="inlineStr"/>
    </row>
    <row r="109">
      <c r="A109" s="4" t="inlineStr">
        <is>
          <t>A12</t>
        </is>
      </c>
      <c r="B109" s="4" t="inlineStr">
        <is>
          <t>PVC board 18 mm</t>
        </is>
      </c>
      <c r="C109" s="4" t="n">
        <v>203</v>
      </c>
      <c r="D109" s="4" t="inlineStr">
        <is>
          <t>Upper_Over_Washer</t>
        </is>
      </c>
      <c r="E109" s="4" t="inlineStr">
        <is>
          <t>Shelf_2</t>
        </is>
      </c>
      <c r="F109" s="4" t="n">
        <v>1765</v>
      </c>
      <c r="G109" s="4" t="n">
        <v>873</v>
      </c>
      <c r="H109" s="4" t="n">
        <v>616.8</v>
      </c>
      <c r="I109" s="4" t="n">
        <v>256</v>
      </c>
      <c r="J109" s="4" t="inlineStr"/>
    </row>
    <row r="110">
      <c r="A110" s="4" t="inlineStr">
        <is>
          <t>A12</t>
        </is>
      </c>
      <c r="B110" s="4" t="inlineStr">
        <is>
          <t>PVC board 18 mm</t>
        </is>
      </c>
      <c r="C110" s="4" t="n">
        <v>31</v>
      </c>
      <c r="D110" s="4" t="inlineStr">
        <is>
          <t>Back_Prep_Racks_600</t>
        </is>
      </c>
      <c r="E110" s="4" t="inlineStr">
        <is>
          <t>Kick_Side_A</t>
        </is>
      </c>
      <c r="F110" s="4" t="n">
        <v>1765</v>
      </c>
      <c r="G110" s="4" t="n">
        <v>1133</v>
      </c>
      <c r="H110" s="4" t="n">
        <v>400</v>
      </c>
      <c r="I110" s="4" t="n">
        <v>73</v>
      </c>
      <c r="J110" s="4" t="inlineStr"/>
    </row>
    <row r="111">
      <c r="A111" s="4" t="inlineStr">
        <is>
          <t>A13</t>
        </is>
      </c>
      <c r="B111" s="4" t="inlineStr">
        <is>
          <t>PVC board 18 mm</t>
        </is>
      </c>
      <c r="C111" s="4" t="n">
        <v>183</v>
      </c>
      <c r="D111" s="4" t="inlineStr">
        <is>
          <t>Upper_Appliance_900</t>
        </is>
      </c>
      <c r="E111" s="4" t="inlineStr">
        <is>
          <t>Shelf_1</t>
        </is>
      </c>
      <c r="F111" s="4" t="n">
        <v>5</v>
      </c>
      <c r="G111" s="4" t="n">
        <v>5</v>
      </c>
      <c r="H111" s="4" t="n">
        <v>864</v>
      </c>
      <c r="I111" s="4" t="n">
        <v>326</v>
      </c>
      <c r="J111" s="4" t="inlineStr"/>
    </row>
    <row r="112">
      <c r="A112" s="4" t="inlineStr">
        <is>
          <t>A13</t>
        </is>
      </c>
      <c r="B112" s="4" t="inlineStr">
        <is>
          <t>PVC board 18 mm</t>
        </is>
      </c>
      <c r="C112" s="4" t="n">
        <v>93</v>
      </c>
      <c r="D112" s="4" t="inlineStr">
        <is>
          <t>Island_2_Induction_750</t>
        </is>
      </c>
      <c r="E112" s="4" t="inlineStr">
        <is>
          <t>Back</t>
        </is>
      </c>
      <c r="F112" s="4" t="n">
        <v>873</v>
      </c>
      <c r="G112" s="4" t="n">
        <v>5</v>
      </c>
      <c r="H112" s="4" t="n">
        <v>776</v>
      </c>
      <c r="I112" s="4" t="n">
        <v>750</v>
      </c>
      <c r="J112" s="4" t="inlineStr"/>
    </row>
    <row r="113">
      <c r="A113" s="4" t="inlineStr">
        <is>
          <t>A13</t>
        </is>
      </c>
      <c r="B113" s="4" t="inlineStr">
        <is>
          <t>PVC board 18 mm</t>
        </is>
      </c>
      <c r="C113" s="4" t="n">
        <v>23</v>
      </c>
      <c r="D113" s="4" t="inlineStr">
        <is>
          <t>Back_Prep_Racks_600</t>
        </is>
      </c>
      <c r="E113" s="4" t="inlineStr">
        <is>
          <t>Back</t>
        </is>
      </c>
      <c r="F113" s="4" t="n">
        <v>1653</v>
      </c>
      <c r="G113" s="4" t="n">
        <v>5</v>
      </c>
      <c r="H113" s="4" t="n">
        <v>776</v>
      </c>
      <c r="I113" s="4" t="n">
        <v>600</v>
      </c>
      <c r="J113" s="4" t="inlineStr"/>
    </row>
    <row r="114">
      <c r="A114" s="4" t="inlineStr">
        <is>
          <t>A13</t>
        </is>
      </c>
      <c r="B114" s="4" t="inlineStr">
        <is>
          <t>PVC board 18 mm</t>
        </is>
      </c>
      <c r="C114" s="4" t="n">
        <v>184</v>
      </c>
      <c r="D114" s="4" t="inlineStr">
        <is>
          <t>Upper_Appliance_900</t>
        </is>
      </c>
      <c r="E114" s="4" t="inlineStr">
        <is>
          <t>Shelf_2</t>
        </is>
      </c>
      <c r="F114" s="4" t="n">
        <v>5</v>
      </c>
      <c r="G114" s="4" t="n">
        <v>335</v>
      </c>
      <c r="H114" s="4" t="n">
        <v>864</v>
      </c>
      <c r="I114" s="4" t="n">
        <v>326</v>
      </c>
      <c r="J114" s="4" t="inlineStr"/>
    </row>
    <row r="115">
      <c r="A115" s="4" t="inlineStr">
        <is>
          <t>A13</t>
        </is>
      </c>
      <c r="B115" s="4" t="inlineStr">
        <is>
          <t>PVC board 18 mm</t>
        </is>
      </c>
      <c r="C115" s="4" t="n">
        <v>69</v>
      </c>
      <c r="D115" s="4" t="inlineStr">
        <is>
          <t>Base_Sink_900</t>
        </is>
      </c>
      <c r="E115" s="4" t="inlineStr">
        <is>
          <t>Side_A</t>
        </is>
      </c>
      <c r="F115" s="4" t="n">
        <v>1653</v>
      </c>
      <c r="G115" s="4" t="n">
        <v>609</v>
      </c>
      <c r="H115" s="4" t="n">
        <v>776</v>
      </c>
      <c r="I115" s="4" t="n">
        <v>592</v>
      </c>
      <c r="J115" s="4" t="inlineStr"/>
    </row>
    <row r="116">
      <c r="A116" s="4" t="inlineStr">
        <is>
          <t>A13</t>
        </is>
      </c>
      <c r="B116" s="4" t="inlineStr">
        <is>
          <t>PVC board 18 mm</t>
        </is>
      </c>
      <c r="C116" s="4" t="n">
        <v>20</v>
      </c>
      <c r="D116" s="4" t="inlineStr">
        <is>
          <t>Back_Appliance_Racks_900</t>
        </is>
      </c>
      <c r="E116" s="4" t="inlineStr">
        <is>
          <t>Stretcher_Back</t>
        </is>
      </c>
      <c r="F116" s="4" t="n">
        <v>5</v>
      </c>
      <c r="G116" s="4" t="n">
        <v>665</v>
      </c>
      <c r="H116" s="4" t="n">
        <v>864</v>
      </c>
      <c r="I116" s="4" t="n">
        <v>100</v>
      </c>
      <c r="J116" s="4" t="inlineStr"/>
    </row>
    <row r="117">
      <c r="A117" s="4" t="inlineStr">
        <is>
          <t>A13</t>
        </is>
      </c>
      <c r="B117" s="4" t="inlineStr">
        <is>
          <t>PVC board 18 mm</t>
        </is>
      </c>
      <c r="C117" s="4" t="n">
        <v>76</v>
      </c>
      <c r="D117" s="4" t="inlineStr">
        <is>
          <t>Island_1_Racks_450</t>
        </is>
      </c>
      <c r="E117" s="4" t="inlineStr">
        <is>
          <t>Back</t>
        </is>
      </c>
      <c r="F117" s="4" t="n">
        <v>873</v>
      </c>
      <c r="G117" s="4" t="n">
        <v>759</v>
      </c>
      <c r="H117" s="4" t="n">
        <v>776</v>
      </c>
      <c r="I117" s="4" t="n">
        <v>450</v>
      </c>
      <c r="J117" s="4" t="inlineStr"/>
    </row>
    <row r="118">
      <c r="A118" s="4" t="inlineStr">
        <is>
          <t>A13</t>
        </is>
      </c>
      <c r="B118" s="4" t="inlineStr">
        <is>
          <t>PVC board 18 mm</t>
        </is>
      </c>
      <c r="C118" s="4" t="n">
        <v>21</v>
      </c>
      <c r="D118" s="4" t="inlineStr">
        <is>
          <t>Back_Appliance_Racks_900</t>
        </is>
      </c>
      <c r="E118" s="4" t="inlineStr">
        <is>
          <t>Stretcher_Front</t>
        </is>
      </c>
      <c r="F118" s="4" t="n">
        <v>5</v>
      </c>
      <c r="G118" s="4" t="n">
        <v>769</v>
      </c>
      <c r="H118" s="4" t="n">
        <v>864</v>
      </c>
      <c r="I118" s="4" t="n">
        <v>100</v>
      </c>
      <c r="J118" s="4" t="inlineStr"/>
    </row>
    <row r="119">
      <c r="A119" s="4" t="inlineStr">
        <is>
          <t>A13</t>
        </is>
      </c>
      <c r="B119" s="4" t="inlineStr">
        <is>
          <t>PVC board 18 mm</t>
        </is>
      </c>
      <c r="C119" s="4" t="n">
        <v>71</v>
      </c>
      <c r="D119" s="4" t="inlineStr">
        <is>
          <t>Base_Sink_900</t>
        </is>
      </c>
      <c r="E119" s="4" t="inlineStr">
        <is>
          <t>Stretcher_Back</t>
        </is>
      </c>
      <c r="F119" s="4" t="n">
        <v>5</v>
      </c>
      <c r="G119" s="4" t="n">
        <v>873</v>
      </c>
      <c r="H119" s="4" t="n">
        <v>864</v>
      </c>
      <c r="I119" s="4" t="n">
        <v>100</v>
      </c>
      <c r="J119" s="4" t="inlineStr"/>
    </row>
    <row r="120">
      <c r="A120" s="4" t="inlineStr">
        <is>
          <t>A13</t>
        </is>
      </c>
      <c r="B120" s="4" t="inlineStr">
        <is>
          <t>PVC board 18 mm</t>
        </is>
      </c>
      <c r="C120" s="4" t="n">
        <v>72</v>
      </c>
      <c r="D120" s="4" t="inlineStr">
        <is>
          <t>Base_Sink_900</t>
        </is>
      </c>
      <c r="E120" s="4" t="inlineStr">
        <is>
          <t>Stretcher_Front</t>
        </is>
      </c>
      <c r="F120" s="4" t="n">
        <v>5</v>
      </c>
      <c r="G120" s="4" t="n">
        <v>977</v>
      </c>
      <c r="H120" s="4" t="n">
        <v>864</v>
      </c>
      <c r="I120" s="4" t="n">
        <v>100</v>
      </c>
      <c r="J120" s="4" t="inlineStr"/>
    </row>
    <row r="121">
      <c r="A121" s="4" t="inlineStr">
        <is>
          <t>A13</t>
        </is>
      </c>
      <c r="B121" s="4" t="inlineStr">
        <is>
          <t>PVC board 18 mm</t>
        </is>
      </c>
      <c r="C121" s="4" t="n">
        <v>61</v>
      </c>
      <c r="D121" s="4" t="inlineStr">
        <is>
          <t>Base_Sink_900</t>
        </is>
      </c>
      <c r="E121" s="4" t="inlineStr">
        <is>
          <t>Kick_Back</t>
        </is>
      </c>
      <c r="F121" s="4" t="n">
        <v>5</v>
      </c>
      <c r="G121" s="4" t="n">
        <v>1081</v>
      </c>
      <c r="H121" s="4" t="n">
        <v>803</v>
      </c>
      <c r="I121" s="4" t="n">
        <v>73</v>
      </c>
      <c r="J121" s="4" t="inlineStr"/>
    </row>
    <row r="122">
      <c r="A122" s="4" t="inlineStr">
        <is>
          <t>A14</t>
        </is>
      </c>
      <c r="B122" s="4" t="inlineStr">
        <is>
          <t>PVC board 18 mm</t>
        </is>
      </c>
      <c r="C122" s="4" t="n">
        <v>70</v>
      </c>
      <c r="D122" s="4" t="inlineStr">
        <is>
          <t>Base_Sink_900</t>
        </is>
      </c>
      <c r="E122" s="4" t="inlineStr">
        <is>
          <t>Side_B</t>
        </is>
      </c>
      <c r="F122" s="4" t="n">
        <v>5</v>
      </c>
      <c r="G122" s="4" t="n">
        <v>5</v>
      </c>
      <c r="H122" s="4" t="n">
        <v>776</v>
      </c>
      <c r="I122" s="4" t="n">
        <v>592</v>
      </c>
      <c r="J122" s="4" t="inlineStr"/>
    </row>
    <row r="123">
      <c r="A123" s="4" t="inlineStr">
        <is>
          <t>A14</t>
        </is>
      </c>
      <c r="B123" s="4" t="inlineStr">
        <is>
          <t>PVC board 18 mm</t>
        </is>
      </c>
      <c r="C123" s="4" t="n">
        <v>19</v>
      </c>
      <c r="D123" s="4" t="inlineStr">
        <is>
          <t>Back_Appliance_Racks_900</t>
        </is>
      </c>
      <c r="E123" s="4" t="inlineStr">
        <is>
          <t>Side_B</t>
        </is>
      </c>
      <c r="F123" s="4" t="n">
        <v>785</v>
      </c>
      <c r="G123" s="4" t="n">
        <v>5</v>
      </c>
      <c r="H123" s="4" t="n">
        <v>776</v>
      </c>
      <c r="I123" s="4" t="n">
        <v>574</v>
      </c>
      <c r="J123" s="4" t="inlineStr"/>
    </row>
    <row r="124">
      <c r="A124" s="4" t="inlineStr">
        <is>
          <t>A14</t>
        </is>
      </c>
      <c r="B124" s="4" t="inlineStr">
        <is>
          <t>PVC board 18 mm</t>
        </is>
      </c>
      <c r="C124" s="4" t="n">
        <v>37</v>
      </c>
      <c r="D124" s="4" t="inlineStr">
        <is>
          <t>Back_Prep_Racks_600</t>
        </is>
      </c>
      <c r="E124" s="4" t="inlineStr">
        <is>
          <t>Side_B</t>
        </is>
      </c>
      <c r="F124" s="4" t="n">
        <v>1565</v>
      </c>
      <c r="G124" s="4" t="n">
        <v>5</v>
      </c>
      <c r="H124" s="4" t="n">
        <v>776</v>
      </c>
      <c r="I124" s="4" t="n">
        <v>574</v>
      </c>
      <c r="J124" s="4" t="inlineStr"/>
    </row>
    <row r="125">
      <c r="A125" s="4" t="inlineStr">
        <is>
          <t>A14</t>
        </is>
      </c>
      <c r="B125" s="4" t="inlineStr">
        <is>
          <t>PVC board 18 mm</t>
        </is>
      </c>
      <c r="C125" s="4" t="n">
        <v>30</v>
      </c>
      <c r="D125" s="4" t="inlineStr">
        <is>
          <t>Back_Prep_Racks_600</t>
        </is>
      </c>
      <c r="E125" s="4" t="inlineStr">
        <is>
          <t>Kick_Inner_Front</t>
        </is>
      </c>
      <c r="F125" s="4" t="n">
        <v>2345</v>
      </c>
      <c r="G125" s="4" t="n">
        <v>5</v>
      </c>
      <c r="H125" s="4" t="n">
        <v>73</v>
      </c>
      <c r="I125" s="4" t="n">
        <v>503</v>
      </c>
      <c r="J125" s="4" t="inlineStr">
        <is>
          <t>yes</t>
        </is>
      </c>
    </row>
    <row r="126">
      <c r="A126" s="4" t="inlineStr">
        <is>
          <t>A14</t>
        </is>
      </c>
      <c r="B126" s="4" t="inlineStr">
        <is>
          <t>PVC board 18 mm</t>
        </is>
      </c>
      <c r="C126" s="4" t="n">
        <v>36</v>
      </c>
      <c r="D126" s="4" t="inlineStr">
        <is>
          <t>Back_Prep_Racks_600</t>
        </is>
      </c>
      <c r="E126" s="4" t="inlineStr">
        <is>
          <t>Side_A</t>
        </is>
      </c>
      <c r="F126" s="4" t="n">
        <v>785</v>
      </c>
      <c r="G126" s="4" t="n">
        <v>583</v>
      </c>
      <c r="H126" s="4" t="n">
        <v>776</v>
      </c>
      <c r="I126" s="4" t="n">
        <v>574</v>
      </c>
      <c r="J126" s="4" t="inlineStr"/>
    </row>
    <row r="127">
      <c r="A127" s="4" t="inlineStr">
        <is>
          <t>A14</t>
        </is>
      </c>
      <c r="B127" s="4" t="inlineStr">
        <is>
          <t>PVC board 18 mm</t>
        </is>
      </c>
      <c r="C127" s="4" t="n">
        <v>54</v>
      </c>
      <c r="D127" s="4" t="inlineStr">
        <is>
          <t>Base_Racks_400</t>
        </is>
      </c>
      <c r="E127" s="4" t="inlineStr">
        <is>
          <t>Side_A</t>
        </is>
      </c>
      <c r="F127" s="4" t="n">
        <v>1565</v>
      </c>
      <c r="G127" s="4" t="n">
        <v>583</v>
      </c>
      <c r="H127" s="4" t="n">
        <v>776</v>
      </c>
      <c r="I127" s="4" t="n">
        <v>574</v>
      </c>
      <c r="J127" s="4" t="inlineStr"/>
    </row>
    <row r="128">
      <c r="A128" s="4" t="inlineStr">
        <is>
          <t>A14</t>
        </is>
      </c>
      <c r="B128" s="4" t="inlineStr">
        <is>
          <t>PVC board 18 mm</t>
        </is>
      </c>
      <c r="C128" s="4" t="n">
        <v>29</v>
      </c>
      <c r="D128" s="4" t="inlineStr">
        <is>
          <t>Back_Prep_Racks_600</t>
        </is>
      </c>
      <c r="E128" s="4" t="inlineStr">
        <is>
          <t>Kick_DrawerFront</t>
        </is>
      </c>
      <c r="F128" s="4" t="n">
        <v>2345</v>
      </c>
      <c r="G128" s="4" t="n">
        <v>583</v>
      </c>
      <c r="H128" s="4" t="n">
        <v>87</v>
      </c>
      <c r="I128" s="4" t="n">
        <v>597</v>
      </c>
      <c r="J128" s="4" t="inlineStr">
        <is>
          <t>yes</t>
        </is>
      </c>
    </row>
    <row r="129">
      <c r="A129" s="4" t="inlineStr">
        <is>
          <t>A14</t>
        </is>
      </c>
      <c r="B129" s="4" t="inlineStr">
        <is>
          <t>PVC board 18 mm</t>
        </is>
      </c>
      <c r="C129" s="4" t="n">
        <v>18</v>
      </c>
      <c r="D129" s="4" t="inlineStr">
        <is>
          <t>Back_Appliance_Racks_900</t>
        </is>
      </c>
      <c r="E129" s="4" t="inlineStr">
        <is>
          <t>Side_A</t>
        </is>
      </c>
      <c r="F129" s="4" t="n">
        <v>5</v>
      </c>
      <c r="G129" s="4" t="n">
        <v>601</v>
      </c>
      <c r="H129" s="4" t="n">
        <v>776</v>
      </c>
      <c r="I129" s="4" t="n">
        <v>574</v>
      </c>
      <c r="J129" s="4" t="inlineStr"/>
    </row>
    <row r="130">
      <c r="A130" s="4" t="inlineStr">
        <is>
          <t>A14</t>
        </is>
      </c>
      <c r="B130" s="4" t="inlineStr">
        <is>
          <t>PVC board 18 mm</t>
        </is>
      </c>
      <c r="C130" s="4" t="n">
        <v>168</v>
      </c>
      <c r="D130" s="4" t="inlineStr">
        <is>
          <t>Scribe_Strips</t>
        </is>
      </c>
      <c r="E130" s="4" t="inlineStr">
        <is>
          <t>Crown_Washer</t>
        </is>
      </c>
      <c r="F130" s="4" t="n">
        <v>785</v>
      </c>
      <c r="G130" s="4" t="n">
        <v>1161</v>
      </c>
      <c r="H130" s="4" t="n">
        <v>652.8</v>
      </c>
      <c r="I130" s="4" t="n">
        <v>50.8</v>
      </c>
      <c r="J130" s="4" t="inlineStr"/>
    </row>
    <row r="131">
      <c r="A131" s="4" t="inlineStr">
        <is>
          <t>A14</t>
        </is>
      </c>
      <c r="B131" s="4" t="inlineStr">
        <is>
          <t>PVC board 18 mm</t>
        </is>
      </c>
      <c r="C131" s="4" t="n">
        <v>165</v>
      </c>
      <c r="D131" s="4" t="inlineStr">
        <is>
          <t>Scribe_Strips</t>
        </is>
      </c>
      <c r="E131" s="4" t="inlineStr">
        <is>
          <t>Crown_Pantry</t>
        </is>
      </c>
      <c r="F131" s="4" t="n">
        <v>1565</v>
      </c>
      <c r="G131" s="4" t="n">
        <v>1161</v>
      </c>
      <c r="H131" s="4" t="n">
        <v>647.2</v>
      </c>
      <c r="I131" s="4" t="n">
        <v>50.8</v>
      </c>
      <c r="J131" s="4" t="inlineStr"/>
    </row>
    <row r="132">
      <c r="A132" s="4" t="inlineStr">
        <is>
          <t>A15</t>
        </is>
      </c>
      <c r="B132" s="4" t="inlineStr">
        <is>
          <t>PVC board 18 mm</t>
        </is>
      </c>
      <c r="C132" s="4" t="n">
        <v>55</v>
      </c>
      <c r="D132" s="4" t="inlineStr">
        <is>
          <t>Base_Racks_400</t>
        </is>
      </c>
      <c r="E132" s="4" t="inlineStr">
        <is>
          <t>Side_B</t>
        </is>
      </c>
      <c r="F132" s="4" t="n">
        <v>5</v>
      </c>
      <c r="G132" s="4" t="n">
        <v>5</v>
      </c>
      <c r="H132" s="4" t="n">
        <v>776</v>
      </c>
      <c r="I132" s="4" t="n">
        <v>574</v>
      </c>
      <c r="J132" s="4" t="inlineStr"/>
    </row>
    <row r="133">
      <c r="A133" s="4" t="inlineStr">
        <is>
          <t>A15</t>
        </is>
      </c>
      <c r="B133" s="4" t="inlineStr">
        <is>
          <t>PVC board 18 mm</t>
        </is>
      </c>
      <c r="C133" s="4" t="n">
        <v>90</v>
      </c>
      <c r="D133" s="4" t="inlineStr">
        <is>
          <t>Island_1_Racks_450</t>
        </is>
      </c>
      <c r="E133" s="4" t="inlineStr">
        <is>
          <t>Side_B</t>
        </is>
      </c>
      <c r="F133" s="4" t="n">
        <v>785</v>
      </c>
      <c r="G133" s="4" t="n">
        <v>5</v>
      </c>
      <c r="H133" s="4" t="n">
        <v>776</v>
      </c>
      <c r="I133" s="4" t="n">
        <v>574</v>
      </c>
      <c r="J133" s="4" t="inlineStr"/>
    </row>
    <row r="134">
      <c r="A134" s="4" t="inlineStr">
        <is>
          <t>A15</t>
        </is>
      </c>
      <c r="B134" s="4" t="inlineStr">
        <is>
          <t>PVC board 18 mm</t>
        </is>
      </c>
      <c r="C134" s="4" t="n">
        <v>107</v>
      </c>
      <c r="D134" s="4" t="inlineStr">
        <is>
          <t>Island_2_Induction_750</t>
        </is>
      </c>
      <c r="E134" s="4" t="inlineStr">
        <is>
          <t>Side_B</t>
        </is>
      </c>
      <c r="F134" s="4" t="n">
        <v>1565</v>
      </c>
      <c r="G134" s="4" t="n">
        <v>5</v>
      </c>
      <c r="H134" s="4" t="n">
        <v>776</v>
      </c>
      <c r="I134" s="4" t="n">
        <v>574</v>
      </c>
      <c r="J134" s="4" t="inlineStr"/>
    </row>
    <row r="135">
      <c r="A135" s="4" t="inlineStr">
        <is>
          <t>A15</t>
        </is>
      </c>
      <c r="B135" s="4" t="inlineStr">
        <is>
          <t>PVC board 18 mm</t>
        </is>
      </c>
      <c r="C135" s="4" t="n">
        <v>143</v>
      </c>
      <c r="D135" s="4" t="inlineStr">
        <is>
          <t>Pantry_600</t>
        </is>
      </c>
      <c r="E135" s="4" t="inlineStr">
        <is>
          <t>Kick_Back</t>
        </is>
      </c>
      <c r="F135" s="4" t="n">
        <v>2345</v>
      </c>
      <c r="G135" s="4" t="n">
        <v>5</v>
      </c>
      <c r="H135" s="4" t="n">
        <v>73</v>
      </c>
      <c r="I135" s="4" t="n">
        <v>503</v>
      </c>
      <c r="J135" s="4" t="inlineStr">
        <is>
          <t>yes</t>
        </is>
      </c>
    </row>
    <row r="136">
      <c r="A136" s="4" t="inlineStr">
        <is>
          <t>A15</t>
        </is>
      </c>
      <c r="B136" s="4" t="inlineStr">
        <is>
          <t>PVC board 18 mm</t>
        </is>
      </c>
      <c r="C136" s="4" t="n">
        <v>89</v>
      </c>
      <c r="D136" s="4" t="inlineStr">
        <is>
          <t>Island_1_Racks_450</t>
        </is>
      </c>
      <c r="E136" s="4" t="inlineStr">
        <is>
          <t>Side_A</t>
        </is>
      </c>
      <c r="F136" s="4" t="n">
        <v>5</v>
      </c>
      <c r="G136" s="4" t="n">
        <v>583</v>
      </c>
      <c r="H136" s="4" t="n">
        <v>776</v>
      </c>
      <c r="I136" s="4" t="n">
        <v>574</v>
      </c>
      <c r="J136" s="4" t="inlineStr"/>
    </row>
    <row r="137">
      <c r="A137" s="4" t="inlineStr">
        <is>
          <t>A15</t>
        </is>
      </c>
      <c r="B137" s="4" t="inlineStr">
        <is>
          <t>PVC board 18 mm</t>
        </is>
      </c>
      <c r="C137" s="4" t="n">
        <v>106</v>
      </c>
      <c r="D137" s="4" t="inlineStr">
        <is>
          <t>Island_2_Induction_750</t>
        </is>
      </c>
      <c r="E137" s="4" t="inlineStr">
        <is>
          <t>Side_A</t>
        </is>
      </c>
      <c r="F137" s="4" t="n">
        <v>785</v>
      </c>
      <c r="G137" s="4" t="n">
        <v>583</v>
      </c>
      <c r="H137" s="4" t="n">
        <v>776</v>
      </c>
      <c r="I137" s="4" t="n">
        <v>574</v>
      </c>
      <c r="J137" s="4" t="inlineStr"/>
    </row>
    <row r="138">
      <c r="A138" s="4" t="inlineStr">
        <is>
          <t>A15</t>
        </is>
      </c>
      <c r="B138" s="4" t="inlineStr">
        <is>
          <t>PVC board 18 mm</t>
        </is>
      </c>
      <c r="C138" s="4" t="n">
        <v>123</v>
      </c>
      <c r="D138" s="4" t="inlineStr">
        <is>
          <t>Island_3_Racks_450</t>
        </is>
      </c>
      <c r="E138" s="4" t="inlineStr">
        <is>
          <t>Side_A</t>
        </is>
      </c>
      <c r="F138" s="4" t="n">
        <v>1565</v>
      </c>
      <c r="G138" s="4" t="n">
        <v>583</v>
      </c>
      <c r="H138" s="4" t="n">
        <v>776</v>
      </c>
      <c r="I138" s="4" t="n">
        <v>574</v>
      </c>
      <c r="J138" s="4" t="inlineStr"/>
    </row>
    <row r="139">
      <c r="A139" s="4" t="inlineStr">
        <is>
          <t>A15</t>
        </is>
      </c>
      <c r="B139" s="4" t="inlineStr">
        <is>
          <t>PVC board 18 mm</t>
        </is>
      </c>
      <c r="C139" s="4" t="n">
        <v>144</v>
      </c>
      <c r="D139" s="4" t="inlineStr">
        <is>
          <t>Pantry_600</t>
        </is>
      </c>
      <c r="E139" s="4" t="inlineStr">
        <is>
          <t>Kick_DrawerFront</t>
        </is>
      </c>
      <c r="F139" s="4" t="n">
        <v>2345</v>
      </c>
      <c r="G139" s="4" t="n">
        <v>583</v>
      </c>
      <c r="H139" s="4" t="n">
        <v>87</v>
      </c>
      <c r="I139" s="4" t="n">
        <v>597</v>
      </c>
      <c r="J139" s="4" t="inlineStr">
        <is>
          <t>yes</t>
        </is>
      </c>
    </row>
    <row r="140">
      <c r="A140" s="4" t="inlineStr">
        <is>
          <t>A15</t>
        </is>
      </c>
      <c r="B140" s="4" t="inlineStr">
        <is>
          <t>PVC board 18 mm</t>
        </is>
      </c>
      <c r="C140" s="4" t="n">
        <v>164</v>
      </c>
      <c r="D140" s="4" t="inlineStr">
        <is>
          <t>Scribe_Strips</t>
        </is>
      </c>
      <c r="E140" s="4" t="inlineStr">
        <is>
          <t>Crown_Back_Prep</t>
        </is>
      </c>
      <c r="F140" s="4" t="n">
        <v>5</v>
      </c>
      <c r="G140" s="4" t="n">
        <v>1161</v>
      </c>
      <c r="H140" s="4" t="n">
        <v>618</v>
      </c>
      <c r="I140" s="4" t="n">
        <v>50.8</v>
      </c>
      <c r="J140" s="4" t="inlineStr"/>
    </row>
    <row r="141">
      <c r="A141" s="4" t="inlineStr">
        <is>
          <t>A15</t>
        </is>
      </c>
      <c r="B141" s="4" t="inlineStr">
        <is>
          <t>PVC board 18 mm</t>
        </is>
      </c>
      <c r="C141" s="4" t="n">
        <v>169</v>
      </c>
      <c r="D141" s="4" t="inlineStr">
        <is>
          <t>Stove_Bay</t>
        </is>
      </c>
      <c r="E141" s="4" t="inlineStr">
        <is>
          <t>Stove_Platform_Riser</t>
        </is>
      </c>
      <c r="F141" s="4" t="n">
        <v>785</v>
      </c>
      <c r="G141" s="4" t="n">
        <v>1161</v>
      </c>
      <c r="H141" s="4" t="n">
        <v>609.6</v>
      </c>
      <c r="I141" s="4" t="n">
        <v>46</v>
      </c>
      <c r="J141" s="4" t="inlineStr"/>
    </row>
    <row r="142">
      <c r="A142" s="4" t="inlineStr">
        <is>
          <t>A15</t>
        </is>
      </c>
      <c r="B142" s="4" t="inlineStr">
        <is>
          <t>PVC board 18 mm</t>
        </is>
      </c>
      <c r="C142" s="4" t="n">
        <v>169</v>
      </c>
      <c r="D142" s="4" t="inlineStr">
        <is>
          <t>Stove_Bay</t>
        </is>
      </c>
      <c r="E142" s="4" t="inlineStr">
        <is>
          <t>Stove_Platform_Riser</t>
        </is>
      </c>
      <c r="F142" s="4" t="n">
        <v>1565</v>
      </c>
      <c r="G142" s="4" t="n">
        <v>1161</v>
      </c>
      <c r="H142" s="4" t="n">
        <v>609.6</v>
      </c>
      <c r="I142" s="4" t="n">
        <v>46</v>
      </c>
      <c r="J142" s="4" t="inlineStr"/>
    </row>
    <row r="143">
      <c r="A143" s="4" t="inlineStr">
        <is>
          <t>A16</t>
        </is>
      </c>
      <c r="B143" s="4" t="inlineStr">
        <is>
          <t>PVC board 18 mm</t>
        </is>
      </c>
      <c r="C143" s="4" t="n">
        <v>124</v>
      </c>
      <c r="D143" s="4" t="inlineStr">
        <is>
          <t>Island_3_Racks_450</t>
        </is>
      </c>
      <c r="E143" s="4" t="inlineStr">
        <is>
          <t>Side_B</t>
        </is>
      </c>
      <c r="F143" s="4" t="n">
        <v>5</v>
      </c>
      <c r="G143" s="4" t="n">
        <v>5</v>
      </c>
      <c r="H143" s="4" t="n">
        <v>776</v>
      </c>
      <c r="I143" s="4" t="n">
        <v>574</v>
      </c>
      <c r="J143" s="4" t="inlineStr"/>
    </row>
    <row r="144">
      <c r="A144" s="4" t="inlineStr">
        <is>
          <t>A16</t>
        </is>
      </c>
      <c r="B144" s="4" t="inlineStr">
        <is>
          <t>PVC board 18 mm</t>
        </is>
      </c>
      <c r="C144" s="4" t="n">
        <v>59</v>
      </c>
      <c r="D144" s="4" t="inlineStr">
        <is>
          <t>Base_Sink_900</t>
        </is>
      </c>
      <c r="E144" s="4" t="inlineStr">
        <is>
          <t>Door_1</t>
        </is>
      </c>
      <c r="F144" s="4" t="n">
        <v>785</v>
      </c>
      <c r="G144" s="4" t="n">
        <v>5</v>
      </c>
      <c r="H144" s="4" t="n">
        <v>773</v>
      </c>
      <c r="I144" s="4" t="n">
        <v>447</v>
      </c>
      <c r="J144" s="4" t="inlineStr"/>
    </row>
    <row r="145">
      <c r="A145" s="4" t="inlineStr">
        <is>
          <t>A16</t>
        </is>
      </c>
      <c r="B145" s="4" t="inlineStr">
        <is>
          <t>PVC board 18 mm</t>
        </is>
      </c>
      <c r="C145" s="4" t="n">
        <v>135</v>
      </c>
      <c r="D145" s="4" t="inlineStr">
        <is>
          <t>Over_Ref_Cabinet</t>
        </is>
      </c>
      <c r="E145" s="4" t="inlineStr">
        <is>
          <t>Side_B</t>
        </is>
      </c>
      <c r="F145" s="4" t="n">
        <v>1562</v>
      </c>
      <c r="G145" s="4" t="n">
        <v>5</v>
      </c>
      <c r="H145" s="4" t="n">
        <v>748</v>
      </c>
      <c r="I145" s="4" t="n">
        <v>457</v>
      </c>
      <c r="J145" s="4" t="inlineStr"/>
    </row>
    <row r="146">
      <c r="A146" s="4" t="inlineStr">
        <is>
          <t>A16</t>
        </is>
      </c>
      <c r="B146" s="4" t="inlineStr">
        <is>
          <t>PVC board 18 mm</t>
        </is>
      </c>
      <c r="C146" s="4" t="n">
        <v>16</v>
      </c>
      <c r="D146" s="4" t="inlineStr">
        <is>
          <t>Back_Appliance_Racks_900</t>
        </is>
      </c>
      <c r="E146" s="4" t="inlineStr">
        <is>
          <t>Plinth_Side_A</t>
        </is>
      </c>
      <c r="F146" s="4" t="n">
        <v>2314</v>
      </c>
      <c r="G146" s="4" t="n">
        <v>5</v>
      </c>
      <c r="H146" s="4" t="n">
        <v>100</v>
      </c>
      <c r="I146" s="4" t="n">
        <v>454</v>
      </c>
      <c r="J146" s="4" t="inlineStr">
        <is>
          <t>yes</t>
        </is>
      </c>
    </row>
    <row r="147">
      <c r="A147" s="4" t="inlineStr">
        <is>
          <t>A16</t>
        </is>
      </c>
      <c r="B147" s="4" t="inlineStr">
        <is>
          <t>PVC board 18 mm</t>
        </is>
      </c>
      <c r="C147" s="4" t="n">
        <v>60</v>
      </c>
      <c r="D147" s="4" t="inlineStr">
        <is>
          <t>Base_Sink_900</t>
        </is>
      </c>
      <c r="E147" s="4" t="inlineStr">
        <is>
          <t>Door_2</t>
        </is>
      </c>
      <c r="F147" s="4" t="n">
        <v>785</v>
      </c>
      <c r="G147" s="4" t="n">
        <v>456</v>
      </c>
      <c r="H147" s="4" t="n">
        <v>773</v>
      </c>
      <c r="I147" s="4" t="n">
        <v>447</v>
      </c>
      <c r="J147" s="4" t="inlineStr"/>
    </row>
    <row r="148">
      <c r="A148" s="4" t="inlineStr">
        <is>
          <t>A16</t>
        </is>
      </c>
      <c r="B148" s="4" t="inlineStr">
        <is>
          <t>PVC board 18 mm</t>
        </is>
      </c>
      <c r="C148" s="4" t="n">
        <v>95</v>
      </c>
      <c r="D148" s="4" t="inlineStr">
        <is>
          <t>Island_2_Induction_750</t>
        </is>
      </c>
      <c r="E148" s="4" t="inlineStr">
        <is>
          <t>DrawerFront_1</t>
        </is>
      </c>
      <c r="F148" s="4" t="n">
        <v>1562</v>
      </c>
      <c r="G148" s="4" t="n">
        <v>466</v>
      </c>
      <c r="H148" s="4" t="n">
        <v>747</v>
      </c>
      <c r="I148" s="4" t="n">
        <v>325</v>
      </c>
      <c r="J148" s="4" t="inlineStr"/>
    </row>
    <row r="149">
      <c r="A149" s="4" t="inlineStr">
        <is>
          <t>A16</t>
        </is>
      </c>
      <c r="B149" s="4" t="inlineStr">
        <is>
          <t>PVC board 18 mm</t>
        </is>
      </c>
      <c r="C149" s="4" t="n">
        <v>48</v>
      </c>
      <c r="D149" s="4" t="inlineStr">
        <is>
          <t>Base_Racks_400</t>
        </is>
      </c>
      <c r="E149" s="4" t="inlineStr">
        <is>
          <t>Kick_Inner_Front</t>
        </is>
      </c>
      <c r="F149" s="4" t="n">
        <v>2313</v>
      </c>
      <c r="G149" s="4" t="n">
        <v>466</v>
      </c>
      <c r="H149" s="4" t="n">
        <v>73</v>
      </c>
      <c r="I149" s="4" t="n">
        <v>303</v>
      </c>
      <c r="J149" s="4" t="inlineStr">
        <is>
          <t>yes</t>
        </is>
      </c>
    </row>
    <row r="150">
      <c r="A150" s="4" t="inlineStr">
        <is>
          <t>A16</t>
        </is>
      </c>
      <c r="B150" s="4" t="inlineStr">
        <is>
          <t>PVC board 18 mm</t>
        </is>
      </c>
      <c r="C150" s="4" t="n">
        <v>41</v>
      </c>
      <c r="D150" s="4" t="inlineStr">
        <is>
          <t>Base_Racks_400</t>
        </is>
      </c>
      <c r="E150" s="4" t="inlineStr">
        <is>
          <t>Back</t>
        </is>
      </c>
      <c r="F150" s="4" t="n">
        <v>5</v>
      </c>
      <c r="G150" s="4" t="n">
        <v>583</v>
      </c>
      <c r="H150" s="4" t="n">
        <v>776</v>
      </c>
      <c r="I150" s="4" t="n">
        <v>400</v>
      </c>
      <c r="J150" s="4" t="inlineStr"/>
    </row>
    <row r="151">
      <c r="A151" s="4" t="inlineStr">
        <is>
          <t>A16</t>
        </is>
      </c>
      <c r="B151" s="4" t="inlineStr">
        <is>
          <t>PVC board 18 mm</t>
        </is>
      </c>
      <c r="C151" s="4" t="n">
        <v>96</v>
      </c>
      <c r="D151" s="4" t="inlineStr">
        <is>
          <t>Island_2_Induction_750</t>
        </is>
      </c>
      <c r="E151" s="4" t="inlineStr">
        <is>
          <t>DrawerFront_2</t>
        </is>
      </c>
      <c r="F151" s="4" t="n">
        <v>1562</v>
      </c>
      <c r="G151" s="4" t="n">
        <v>795</v>
      </c>
      <c r="H151" s="4" t="n">
        <v>747</v>
      </c>
      <c r="I151" s="4" t="n">
        <v>325</v>
      </c>
      <c r="J151" s="4" t="inlineStr"/>
    </row>
    <row r="152">
      <c r="A152" s="4" t="inlineStr">
        <is>
          <t>A16</t>
        </is>
      </c>
      <c r="B152" s="4" t="inlineStr">
        <is>
          <t>PVC board 18 mm</t>
        </is>
      </c>
      <c r="C152" s="4" t="n">
        <v>91</v>
      </c>
      <c r="D152" s="4" t="inlineStr">
        <is>
          <t>Island_1_Racks_450</t>
        </is>
      </c>
      <c r="E152" s="4" t="inlineStr">
        <is>
          <t>Stretcher_Back</t>
        </is>
      </c>
      <c r="F152" s="4" t="n">
        <v>2313</v>
      </c>
      <c r="G152" s="4" t="n">
        <v>795</v>
      </c>
      <c r="H152" s="4" t="n">
        <v>100</v>
      </c>
      <c r="I152" s="4" t="n">
        <v>414</v>
      </c>
      <c r="J152" s="4" t="inlineStr">
        <is>
          <t>yes</t>
        </is>
      </c>
    </row>
    <row r="153">
      <c r="A153" s="4" t="inlineStr">
        <is>
          <t>A16</t>
        </is>
      </c>
      <c r="B153" s="4" t="inlineStr">
        <is>
          <t>PVC board 18 mm</t>
        </is>
      </c>
      <c r="C153" s="4" t="n">
        <v>193</v>
      </c>
      <c r="D153" s="4" t="inlineStr">
        <is>
          <t>Upper_Hood_620</t>
        </is>
      </c>
      <c r="E153" s="4" t="inlineStr">
        <is>
          <t>Side_A</t>
        </is>
      </c>
      <c r="F153" s="4" t="n">
        <v>785</v>
      </c>
      <c r="G153" s="4" t="n">
        <v>907</v>
      </c>
      <c r="H153" s="4" t="n">
        <v>672</v>
      </c>
      <c r="I153" s="4" t="n">
        <v>294</v>
      </c>
      <c r="J153" s="4" t="inlineStr"/>
    </row>
    <row r="154">
      <c r="A154" s="4" t="inlineStr">
        <is>
          <t>A16</t>
        </is>
      </c>
      <c r="B154" s="4" t="inlineStr">
        <is>
          <t>PVC board 18 mm</t>
        </is>
      </c>
      <c r="C154" s="4" t="n">
        <v>46</v>
      </c>
      <c r="D154" s="4" t="inlineStr">
        <is>
          <t>Base_Racks_400</t>
        </is>
      </c>
      <c r="E154" s="4" t="inlineStr">
        <is>
          <t>Kick_Back</t>
        </is>
      </c>
      <c r="F154" s="4" t="n">
        <v>1461</v>
      </c>
      <c r="G154" s="4" t="n">
        <v>907</v>
      </c>
      <c r="H154" s="4" t="n">
        <v>73</v>
      </c>
      <c r="I154" s="4" t="n">
        <v>303</v>
      </c>
      <c r="J154" s="4" t="inlineStr">
        <is>
          <t>yes</t>
        </is>
      </c>
    </row>
    <row r="155">
      <c r="A155" s="4" t="inlineStr">
        <is>
          <t>A16</t>
        </is>
      </c>
      <c r="B155" s="4" t="inlineStr">
        <is>
          <t>PVC board 18 mm</t>
        </is>
      </c>
      <c r="C155" s="4" t="n">
        <v>109</v>
      </c>
      <c r="D155" s="4" t="inlineStr">
        <is>
          <t>Island_2_Induction_750</t>
        </is>
      </c>
      <c r="E155" s="4" t="inlineStr">
        <is>
          <t>Stretcher_Front</t>
        </is>
      </c>
      <c r="F155" s="4" t="n">
        <v>5</v>
      </c>
      <c r="G155" s="4" t="n">
        <v>987</v>
      </c>
      <c r="H155" s="4" t="n">
        <v>714</v>
      </c>
      <c r="I155" s="4" t="n">
        <v>100</v>
      </c>
      <c r="J155" s="4" t="inlineStr"/>
    </row>
    <row r="156">
      <c r="A156" s="4" t="inlineStr">
        <is>
          <t>A16</t>
        </is>
      </c>
      <c r="B156" s="4" t="inlineStr">
        <is>
          <t>PVC board 18 mm</t>
        </is>
      </c>
      <c r="C156" s="4" t="n">
        <v>138</v>
      </c>
      <c r="D156" s="4" t="inlineStr">
        <is>
          <t>Pantry</t>
        </is>
      </c>
      <c r="E156" s="4" t="inlineStr">
        <is>
          <t>Filler_Pantry_Plinth</t>
        </is>
      </c>
      <c r="F156" s="4" t="n">
        <v>723</v>
      </c>
      <c r="G156" s="4" t="n">
        <v>987</v>
      </c>
      <c r="H156" s="4" t="n">
        <v>47.2</v>
      </c>
      <c r="I156" s="4" t="n">
        <v>100</v>
      </c>
      <c r="J156" s="4" t="inlineStr">
        <is>
          <t>yes</t>
        </is>
      </c>
    </row>
    <row r="157">
      <c r="A157" s="4" t="inlineStr">
        <is>
          <t>A16</t>
        </is>
      </c>
      <c r="B157" s="4" t="inlineStr">
        <is>
          <t>PVC board 18 mm</t>
        </is>
      </c>
      <c r="C157" s="4" t="n">
        <v>98</v>
      </c>
      <c r="D157" s="4" t="inlineStr">
        <is>
          <t>Island_2_Induction_750</t>
        </is>
      </c>
      <c r="E157" s="4" t="inlineStr">
        <is>
          <t>Kick_Back</t>
        </is>
      </c>
      <c r="F157" s="4" t="n">
        <v>5</v>
      </c>
      <c r="G157" s="4" t="n">
        <v>1091</v>
      </c>
      <c r="H157" s="4" t="n">
        <v>653</v>
      </c>
      <c r="I157" s="4" t="n">
        <v>73</v>
      </c>
      <c r="J157" s="4" t="inlineStr"/>
    </row>
    <row r="158">
      <c r="A158" s="4" t="inlineStr">
        <is>
          <t>A16</t>
        </is>
      </c>
      <c r="B158" s="4" t="inlineStr">
        <is>
          <t>PVC board 18 mm</t>
        </is>
      </c>
      <c r="C158" s="4" t="n">
        <v>99</v>
      </c>
      <c r="D158" s="4" t="inlineStr">
        <is>
          <t>Island_2_Induction_750</t>
        </is>
      </c>
      <c r="E158" s="4" t="inlineStr">
        <is>
          <t>Kick_DrawerFront</t>
        </is>
      </c>
      <c r="F158" s="4" t="n">
        <v>1562</v>
      </c>
      <c r="G158" s="4" t="n">
        <v>1124</v>
      </c>
      <c r="H158" s="4" t="n">
        <v>747</v>
      </c>
      <c r="I158" s="4" t="n">
        <v>87</v>
      </c>
      <c r="J158" s="4" t="inlineStr"/>
    </row>
    <row r="159">
      <c r="A159" s="4" t="inlineStr">
        <is>
          <t>A16</t>
        </is>
      </c>
      <c r="B159" s="4" t="inlineStr">
        <is>
          <t>PVC board 18 mm</t>
        </is>
      </c>
      <c r="C159" s="4" t="n">
        <v>169</v>
      </c>
      <c r="D159" s="4" t="inlineStr">
        <is>
          <t>Stove_Bay</t>
        </is>
      </c>
      <c r="E159" s="4" t="inlineStr">
        <is>
          <t>Stove_Platform_Riser</t>
        </is>
      </c>
      <c r="F159" s="4" t="n">
        <v>5</v>
      </c>
      <c r="G159" s="4" t="n">
        <v>1168</v>
      </c>
      <c r="H159" s="4" t="n">
        <v>609.6</v>
      </c>
      <c r="I159" s="4" t="n">
        <v>46</v>
      </c>
      <c r="J159" s="4" t="inlineStr"/>
    </row>
    <row r="160">
      <c r="A160" s="4" t="inlineStr">
        <is>
          <t>A17</t>
        </is>
      </c>
      <c r="B160" s="4" t="inlineStr">
        <is>
          <t>PVC board 18 mm</t>
        </is>
      </c>
      <c r="C160" s="4" t="n">
        <v>94</v>
      </c>
      <c r="D160" s="4" t="inlineStr">
        <is>
          <t>Island_2_Induction_750</t>
        </is>
      </c>
      <c r="E160" s="4" t="inlineStr">
        <is>
          <t>Bottom</t>
        </is>
      </c>
      <c r="F160" s="4" t="n">
        <v>5</v>
      </c>
      <c r="G160" s="4" t="n">
        <v>5</v>
      </c>
      <c r="H160" s="4" t="n">
        <v>714</v>
      </c>
      <c r="I160" s="4" t="n">
        <v>574</v>
      </c>
      <c r="J160" s="4" t="inlineStr"/>
    </row>
    <row r="161">
      <c r="A161" s="4" t="inlineStr">
        <is>
          <t>A17</t>
        </is>
      </c>
      <c r="B161" s="4" t="inlineStr">
        <is>
          <t>PVC board 18 mm</t>
        </is>
      </c>
      <c r="C161" s="4" t="n">
        <v>194</v>
      </c>
      <c r="D161" s="4" t="inlineStr">
        <is>
          <t>Upper_Hood_620</t>
        </is>
      </c>
      <c r="E161" s="4" t="inlineStr">
        <is>
          <t>Side_B</t>
        </is>
      </c>
      <c r="F161" s="4" t="n">
        <v>723</v>
      </c>
      <c r="G161" s="4" t="n">
        <v>5</v>
      </c>
      <c r="H161" s="4" t="n">
        <v>672</v>
      </c>
      <c r="I161" s="4" t="n">
        <v>294</v>
      </c>
      <c r="J161" s="4" t="inlineStr"/>
    </row>
    <row r="162">
      <c r="A162" s="4" t="inlineStr">
        <is>
          <t>A17</t>
        </is>
      </c>
      <c r="B162" s="4" t="inlineStr">
        <is>
          <t>PVC board 18 mm</t>
        </is>
      </c>
      <c r="C162" s="4" t="n">
        <v>170</v>
      </c>
      <c r="D162" s="4" t="inlineStr">
        <is>
          <t>Stove_Bay</t>
        </is>
      </c>
      <c r="E162" s="4" t="inlineStr">
        <is>
          <t>Stove_Platform_Top</t>
        </is>
      </c>
      <c r="F162" s="4" t="n">
        <v>1399</v>
      </c>
      <c r="G162" s="4" t="n">
        <v>5</v>
      </c>
      <c r="H162" s="4" t="n">
        <v>609.6</v>
      </c>
      <c r="I162" s="4" t="n">
        <v>609.6</v>
      </c>
      <c r="J162" s="4" t="inlineStr"/>
    </row>
    <row r="163">
      <c r="A163" s="4" t="inlineStr">
        <is>
          <t>A17</t>
        </is>
      </c>
      <c r="B163" s="4" t="inlineStr">
        <is>
          <t>PVC board 18 mm</t>
        </is>
      </c>
      <c r="C163" s="4" t="n">
        <v>26</v>
      </c>
      <c r="D163" s="4" t="inlineStr">
        <is>
          <t>Back_Prep_Racks_600</t>
        </is>
      </c>
      <c r="E163" s="4" t="inlineStr">
        <is>
          <t>DrawerFront_2</t>
        </is>
      </c>
      <c r="F163" s="4" t="n">
        <v>2013</v>
      </c>
      <c r="G163" s="4" t="n">
        <v>5</v>
      </c>
      <c r="H163" s="4" t="n">
        <v>268.6</v>
      </c>
      <c r="I163" s="4" t="n">
        <v>597</v>
      </c>
      <c r="J163" s="4" t="inlineStr">
        <is>
          <t>yes</t>
        </is>
      </c>
    </row>
    <row r="164">
      <c r="A164" s="4" t="inlineStr">
        <is>
          <t>A17</t>
        </is>
      </c>
      <c r="B164" s="4" t="inlineStr">
        <is>
          <t>PVC board 18 mm</t>
        </is>
      </c>
      <c r="C164" s="4" t="n">
        <v>52</v>
      </c>
      <c r="D164" s="4" t="inlineStr">
        <is>
          <t>Base_Racks_400</t>
        </is>
      </c>
      <c r="E164" s="4" t="inlineStr">
        <is>
          <t>Plinth_Side_A</t>
        </is>
      </c>
      <c r="F164" s="4" t="n">
        <v>2285</v>
      </c>
      <c r="G164" s="4" t="n">
        <v>5</v>
      </c>
      <c r="H164" s="4" t="n">
        <v>100</v>
      </c>
      <c r="I164" s="4" t="n">
        <v>454</v>
      </c>
      <c r="J164" s="4" t="inlineStr">
        <is>
          <t>yes</t>
        </is>
      </c>
    </row>
    <row r="165">
      <c r="A165" s="4" t="inlineStr">
        <is>
          <t>A17</t>
        </is>
      </c>
      <c r="B165" s="4" t="inlineStr">
        <is>
          <t>PVC board 18 mm</t>
        </is>
      </c>
      <c r="C165" s="4" t="n">
        <v>190</v>
      </c>
      <c r="D165" s="4" t="inlineStr">
        <is>
          <t>Upper_Hood_620</t>
        </is>
      </c>
      <c r="E165" s="4" t="inlineStr">
        <is>
          <t>Door_1</t>
        </is>
      </c>
      <c r="F165" s="4" t="n">
        <v>723</v>
      </c>
      <c r="G165" s="4" t="n">
        <v>303</v>
      </c>
      <c r="H165" s="4" t="n">
        <v>669</v>
      </c>
      <c r="I165" s="4" t="n">
        <v>617</v>
      </c>
      <c r="J165" s="4" t="inlineStr"/>
    </row>
    <row r="166">
      <c r="A166" s="4" t="inlineStr">
        <is>
          <t>A17</t>
        </is>
      </c>
      <c r="B166" s="4" t="inlineStr">
        <is>
          <t>PVC board 18 mm</t>
        </is>
      </c>
      <c r="C166" s="4" t="n">
        <v>188</v>
      </c>
      <c r="D166" s="4" t="inlineStr">
        <is>
          <t>Upper_Hood_620</t>
        </is>
      </c>
      <c r="E166" s="4" t="inlineStr">
        <is>
          <t>Back</t>
        </is>
      </c>
      <c r="F166" s="4" t="n">
        <v>5</v>
      </c>
      <c r="G166" s="4" t="n">
        <v>583</v>
      </c>
      <c r="H166" s="4" t="n">
        <v>672</v>
      </c>
      <c r="I166" s="4" t="n">
        <v>620</v>
      </c>
      <c r="J166" s="4" t="inlineStr"/>
    </row>
    <row r="167">
      <c r="A167" s="4" t="inlineStr">
        <is>
          <t>A17</t>
        </is>
      </c>
      <c r="B167" s="4" t="inlineStr">
        <is>
          <t>PVC board 18 mm</t>
        </is>
      </c>
      <c r="C167" s="4" t="n">
        <v>140</v>
      </c>
      <c r="D167" s="4" t="inlineStr">
        <is>
          <t>Pantry_600</t>
        </is>
      </c>
      <c r="E167" s="4" t="inlineStr">
        <is>
          <t>Bottom</t>
        </is>
      </c>
      <c r="F167" s="4" t="n">
        <v>1399</v>
      </c>
      <c r="G167" s="4" t="n">
        <v>619</v>
      </c>
      <c r="H167" s="4" t="n">
        <v>574</v>
      </c>
      <c r="I167" s="4" t="n">
        <v>564</v>
      </c>
      <c r="J167" s="4" t="inlineStr"/>
    </row>
    <row r="168">
      <c r="A168" s="4" t="inlineStr">
        <is>
          <t>A17</t>
        </is>
      </c>
      <c r="B168" s="4" t="inlineStr">
        <is>
          <t>PVC board 18 mm</t>
        </is>
      </c>
      <c r="C168" s="4" t="n">
        <v>77</v>
      </c>
      <c r="D168" s="4" t="inlineStr">
        <is>
          <t>Island_1_Racks_450</t>
        </is>
      </c>
      <c r="E168" s="4" t="inlineStr">
        <is>
          <t>Bottom</t>
        </is>
      </c>
      <c r="F168" s="4" t="n">
        <v>1977</v>
      </c>
      <c r="G168" s="4" t="n">
        <v>619</v>
      </c>
      <c r="H168" s="4" t="n">
        <v>414</v>
      </c>
      <c r="I168" s="4" t="n">
        <v>574</v>
      </c>
      <c r="J168" s="4" t="inlineStr">
        <is>
          <t>yes</t>
        </is>
      </c>
    </row>
    <row r="169">
      <c r="A169" s="4" t="inlineStr">
        <is>
          <t>A17</t>
        </is>
      </c>
      <c r="B169" s="4" t="inlineStr">
        <is>
          <t>PVC board 18 mm</t>
        </is>
      </c>
      <c r="C169" s="4" t="n">
        <v>100</v>
      </c>
      <c r="D169" s="4" t="inlineStr">
        <is>
          <t>Island_2_Induction_750</t>
        </is>
      </c>
      <c r="E169" s="4" t="inlineStr">
        <is>
          <t>Kick_Inner_Front</t>
        </is>
      </c>
      <c r="F169" s="4" t="n">
        <v>723</v>
      </c>
      <c r="G169" s="4" t="n">
        <v>924</v>
      </c>
      <c r="H169" s="4" t="n">
        <v>653</v>
      </c>
      <c r="I169" s="4" t="n">
        <v>73</v>
      </c>
      <c r="J169" s="4" t="inlineStr"/>
    </row>
    <row r="170">
      <c r="A170" s="4" t="inlineStr">
        <is>
          <t>A17</t>
        </is>
      </c>
      <c r="B170" s="4" t="inlineStr">
        <is>
          <t>PVC board 18 mm</t>
        </is>
      </c>
      <c r="C170" s="4" t="n">
        <v>222</v>
      </c>
      <c r="D170" s="4" t="inlineStr">
        <is>
          <t>Washer_Bay</t>
        </is>
      </c>
      <c r="E170" s="4" t="inlineStr">
        <is>
          <t>Back_Rail</t>
        </is>
      </c>
      <c r="F170" s="4" t="n">
        <v>723</v>
      </c>
      <c r="G170" s="4" t="n">
        <v>1001</v>
      </c>
      <c r="H170" s="4" t="n">
        <v>634.8</v>
      </c>
      <c r="I170" s="4" t="n">
        <v>100</v>
      </c>
      <c r="J170" s="4" t="inlineStr"/>
    </row>
    <row r="171">
      <c r="A171" s="4" t="inlineStr">
        <is>
          <t>A17</t>
        </is>
      </c>
      <c r="B171" s="4" t="inlineStr">
        <is>
          <t>PVC board 18 mm</t>
        </is>
      </c>
      <c r="C171" s="4" t="n">
        <v>225</v>
      </c>
      <c r="D171" s="4" t="inlineStr">
        <is>
          <t>Washer_Bay</t>
        </is>
      </c>
      <c r="E171" s="4" t="inlineStr">
        <is>
          <t>Rail_Front</t>
        </is>
      </c>
      <c r="F171" s="4" t="n">
        <v>723</v>
      </c>
      <c r="G171" s="4" t="n">
        <v>1105</v>
      </c>
      <c r="H171" s="4" t="n">
        <v>634.8</v>
      </c>
      <c r="I171" s="4" t="n">
        <v>100</v>
      </c>
      <c r="J171" s="4" t="inlineStr"/>
    </row>
    <row r="172">
      <c r="A172" s="4" t="inlineStr">
        <is>
          <t>A18</t>
        </is>
      </c>
      <c r="B172" s="4" t="inlineStr">
        <is>
          <t>PVC board 18 mm</t>
        </is>
      </c>
      <c r="C172" s="4" t="n">
        <v>159</v>
      </c>
      <c r="D172" s="4" t="inlineStr">
        <is>
          <t>Pantry_600</t>
        </is>
      </c>
      <c r="E172" s="4" t="inlineStr">
        <is>
          <t>Top</t>
        </is>
      </c>
      <c r="F172" s="4" t="n">
        <v>5</v>
      </c>
      <c r="G172" s="4" t="n">
        <v>5</v>
      </c>
      <c r="H172" s="4" t="n">
        <v>574</v>
      </c>
      <c r="I172" s="4" t="n">
        <v>564</v>
      </c>
      <c r="J172" s="4" t="inlineStr"/>
    </row>
    <row r="173">
      <c r="A173" s="4" t="inlineStr">
        <is>
          <t>A18</t>
        </is>
      </c>
      <c r="B173" s="4" t="inlineStr">
        <is>
          <t>PVC board 18 mm</t>
        </is>
      </c>
      <c r="C173" s="4" t="n">
        <v>151</v>
      </c>
      <c r="D173" s="4" t="inlineStr">
        <is>
          <t>Pantry_600</t>
        </is>
      </c>
      <c r="E173" s="4" t="inlineStr">
        <is>
          <t>Shelf_1</t>
        </is>
      </c>
      <c r="F173" s="4" t="n">
        <v>583</v>
      </c>
      <c r="G173" s="4" t="n">
        <v>5</v>
      </c>
      <c r="H173" s="4" t="n">
        <v>564</v>
      </c>
      <c r="I173" s="4" t="n">
        <v>536</v>
      </c>
      <c r="J173" s="4" t="inlineStr"/>
    </row>
    <row r="174">
      <c r="A174" s="4" t="inlineStr">
        <is>
          <t>A18</t>
        </is>
      </c>
      <c r="B174" s="4" t="inlineStr">
        <is>
          <t>PVC board 18 mm</t>
        </is>
      </c>
      <c r="C174" s="4" t="n">
        <v>153</v>
      </c>
      <c r="D174" s="4" t="inlineStr">
        <is>
          <t>Pantry_600</t>
        </is>
      </c>
      <c r="E174" s="4" t="inlineStr">
        <is>
          <t>Shelf_3</t>
        </is>
      </c>
      <c r="F174" s="4" t="n">
        <v>1151</v>
      </c>
      <c r="G174" s="4" t="n">
        <v>5</v>
      </c>
      <c r="H174" s="4" t="n">
        <v>564</v>
      </c>
      <c r="I174" s="4" t="n">
        <v>536</v>
      </c>
      <c r="J174" s="4" t="inlineStr"/>
    </row>
    <row r="175">
      <c r="A175" s="4" t="inlineStr">
        <is>
          <t>A18</t>
        </is>
      </c>
      <c r="B175" s="4" t="inlineStr">
        <is>
          <t>PVC board 18 mm</t>
        </is>
      </c>
      <c r="C175" s="4" t="n">
        <v>155</v>
      </c>
      <c r="D175" s="4" t="inlineStr">
        <is>
          <t>Pantry_600</t>
        </is>
      </c>
      <c r="E175" s="4" t="inlineStr">
        <is>
          <t>Shelf_5</t>
        </is>
      </c>
      <c r="F175" s="4" t="n">
        <v>1719</v>
      </c>
      <c r="G175" s="4" t="n">
        <v>5</v>
      </c>
      <c r="H175" s="4" t="n">
        <v>564</v>
      </c>
      <c r="I175" s="4" t="n">
        <v>536</v>
      </c>
      <c r="J175" s="4" t="inlineStr"/>
    </row>
    <row r="176">
      <c r="A176" s="4" t="inlineStr">
        <is>
          <t>A18</t>
        </is>
      </c>
      <c r="B176" s="4" t="inlineStr">
        <is>
          <t>PVC board 18 mm</t>
        </is>
      </c>
      <c r="C176" s="4" t="n">
        <v>17</v>
      </c>
      <c r="D176" s="4" t="inlineStr">
        <is>
          <t>Back_Appliance_Racks_900</t>
        </is>
      </c>
      <c r="E176" s="4" t="inlineStr">
        <is>
          <t>Plinth_Side_B</t>
        </is>
      </c>
      <c r="F176" s="4" t="n">
        <v>2287</v>
      </c>
      <c r="G176" s="4" t="n">
        <v>5</v>
      </c>
      <c r="H176" s="4" t="n">
        <v>100</v>
      </c>
      <c r="I176" s="4" t="n">
        <v>454</v>
      </c>
      <c r="J176" s="4" t="inlineStr">
        <is>
          <t>yes</t>
        </is>
      </c>
    </row>
    <row r="177">
      <c r="A177" s="4" t="inlineStr">
        <is>
          <t>A18</t>
        </is>
      </c>
      <c r="B177" s="4" t="inlineStr">
        <is>
          <t>PVC board 18 mm</t>
        </is>
      </c>
      <c r="C177" s="4" t="n">
        <v>152</v>
      </c>
      <c r="D177" s="4" t="inlineStr">
        <is>
          <t>Pantry_600</t>
        </is>
      </c>
      <c r="E177" s="4" t="inlineStr">
        <is>
          <t>Shelf_2</t>
        </is>
      </c>
      <c r="F177" s="4" t="n">
        <v>583</v>
      </c>
      <c r="G177" s="4" t="n">
        <v>545</v>
      </c>
      <c r="H177" s="4" t="n">
        <v>564</v>
      </c>
      <c r="I177" s="4" t="n">
        <v>536</v>
      </c>
      <c r="J177" s="4" t="inlineStr"/>
    </row>
    <row r="178">
      <c r="A178" s="4" t="inlineStr">
        <is>
          <t>A18</t>
        </is>
      </c>
      <c r="B178" s="4" t="inlineStr">
        <is>
          <t>PVC board 18 mm</t>
        </is>
      </c>
      <c r="C178" s="4" t="n">
        <v>154</v>
      </c>
      <c r="D178" s="4" t="inlineStr">
        <is>
          <t>Pantry_600</t>
        </is>
      </c>
      <c r="E178" s="4" t="inlineStr">
        <is>
          <t>Shelf_4</t>
        </is>
      </c>
      <c r="F178" s="4" t="n">
        <v>1151</v>
      </c>
      <c r="G178" s="4" t="n">
        <v>545</v>
      </c>
      <c r="H178" s="4" t="n">
        <v>564</v>
      </c>
      <c r="I178" s="4" t="n">
        <v>536</v>
      </c>
      <c r="J178" s="4" t="inlineStr"/>
    </row>
    <row r="179">
      <c r="A179" s="4" t="inlineStr">
        <is>
          <t>A18</t>
        </is>
      </c>
      <c r="B179" s="4" t="inlineStr">
        <is>
          <t>PVC board 18 mm</t>
        </is>
      </c>
      <c r="C179" s="4" t="n">
        <v>156</v>
      </c>
      <c r="D179" s="4" t="inlineStr">
        <is>
          <t>Pantry_600</t>
        </is>
      </c>
      <c r="E179" s="4" t="inlineStr">
        <is>
          <t>Shelf_6</t>
        </is>
      </c>
      <c r="F179" s="4" t="n">
        <v>1719</v>
      </c>
      <c r="G179" s="4" t="n">
        <v>545</v>
      </c>
      <c r="H179" s="4" t="n">
        <v>564</v>
      </c>
      <c r="I179" s="4" t="n">
        <v>536</v>
      </c>
      <c r="J179" s="4" t="inlineStr"/>
    </row>
    <row r="180">
      <c r="A180" s="4" t="inlineStr">
        <is>
          <t>A18</t>
        </is>
      </c>
      <c r="B180" s="4" t="inlineStr">
        <is>
          <t>PVC board 18 mm</t>
        </is>
      </c>
      <c r="C180" s="4" t="n">
        <v>53</v>
      </c>
      <c r="D180" s="4" t="inlineStr">
        <is>
          <t>Base_Racks_400</t>
        </is>
      </c>
      <c r="E180" s="4" t="inlineStr">
        <is>
          <t>Plinth_Side_B</t>
        </is>
      </c>
      <c r="F180" s="4" t="n">
        <v>2287</v>
      </c>
      <c r="G180" s="4" t="n">
        <v>545</v>
      </c>
      <c r="H180" s="4" t="n">
        <v>100</v>
      </c>
      <c r="I180" s="4" t="n">
        <v>454</v>
      </c>
      <c r="J180" s="4" t="inlineStr">
        <is>
          <t>yes</t>
        </is>
      </c>
    </row>
    <row r="181">
      <c r="A181" s="4" t="inlineStr">
        <is>
          <t>A18</t>
        </is>
      </c>
      <c r="B181" s="4" t="inlineStr">
        <is>
          <t>PVC board 18 mm</t>
        </is>
      </c>
      <c r="C181" s="4" t="n">
        <v>111</v>
      </c>
      <c r="D181" s="4" t="inlineStr">
        <is>
          <t>Island_3_Racks_450</t>
        </is>
      </c>
      <c r="E181" s="4" t="inlineStr">
        <is>
          <t>Bottom</t>
        </is>
      </c>
      <c r="F181" s="4" t="n">
        <v>5</v>
      </c>
      <c r="G181" s="4" t="n">
        <v>573</v>
      </c>
      <c r="H181" s="4" t="n">
        <v>574</v>
      </c>
      <c r="I181" s="4" t="n">
        <v>414</v>
      </c>
      <c r="J181" s="4" t="inlineStr"/>
    </row>
    <row r="182">
      <c r="A182" s="4" t="inlineStr">
        <is>
          <t>A18</t>
        </is>
      </c>
      <c r="B182" s="4" t="inlineStr">
        <is>
          <t>PVC board 18 mm</t>
        </is>
      </c>
      <c r="C182" s="4" t="n">
        <v>67</v>
      </c>
      <c r="D182" s="4" t="inlineStr">
        <is>
          <t>Base_Sink_900</t>
        </is>
      </c>
      <c r="E182" s="4" t="inlineStr">
        <is>
          <t>Plinth_Side_A</t>
        </is>
      </c>
      <c r="F182" s="4" t="n">
        <v>5</v>
      </c>
      <c r="G182" s="4" t="n">
        <v>991</v>
      </c>
      <c r="H182" s="4" t="n">
        <v>454</v>
      </c>
      <c r="I182" s="4" t="n">
        <v>100</v>
      </c>
      <c r="J182" s="4" t="inlineStr"/>
    </row>
    <row r="183">
      <c r="A183" s="4" t="inlineStr">
        <is>
          <t>A18</t>
        </is>
      </c>
      <c r="B183" s="4" t="inlineStr">
        <is>
          <t>PVC board 18 mm</t>
        </is>
      </c>
      <c r="C183" s="4" t="n">
        <v>38</v>
      </c>
      <c r="D183" s="4" t="inlineStr">
        <is>
          <t>Back_Prep_Racks_600</t>
        </is>
      </c>
      <c r="E183" s="4" t="inlineStr">
        <is>
          <t>Stretcher_Back</t>
        </is>
      </c>
      <c r="F183" s="4" t="n">
        <v>583</v>
      </c>
      <c r="G183" s="4" t="n">
        <v>1085</v>
      </c>
      <c r="H183" s="4" t="n">
        <v>564</v>
      </c>
      <c r="I183" s="4" t="n">
        <v>100</v>
      </c>
      <c r="J183" s="4" t="inlineStr"/>
    </row>
    <row r="184">
      <c r="A184" s="4" t="inlineStr">
        <is>
          <t>A18</t>
        </is>
      </c>
      <c r="B184" s="4" t="inlineStr">
        <is>
          <t>PVC board 18 mm</t>
        </is>
      </c>
      <c r="C184" s="4" t="n">
        <v>39</v>
      </c>
      <c r="D184" s="4" t="inlineStr">
        <is>
          <t>Back_Prep_Racks_600</t>
        </is>
      </c>
      <c r="E184" s="4" t="inlineStr">
        <is>
          <t>Stretcher_Front</t>
        </is>
      </c>
      <c r="F184" s="4" t="n">
        <v>1151</v>
      </c>
      <c r="G184" s="4" t="n">
        <v>1085</v>
      </c>
      <c r="H184" s="4" t="n">
        <v>564</v>
      </c>
      <c r="I184" s="4" t="n">
        <v>100</v>
      </c>
      <c r="J184" s="4" t="inlineStr"/>
    </row>
    <row r="185">
      <c r="A185" s="4" t="inlineStr">
        <is>
          <t>A18</t>
        </is>
      </c>
      <c r="B185" s="4" t="inlineStr">
        <is>
          <t>PVC board 18 mm</t>
        </is>
      </c>
      <c r="C185" s="4" t="n">
        <v>132</v>
      </c>
      <c r="D185" s="4" t="inlineStr">
        <is>
          <t>Over_Ref_Cabinet</t>
        </is>
      </c>
      <c r="E185" s="4" t="inlineStr">
        <is>
          <t>Pipe_Chase_Side</t>
        </is>
      </c>
      <c r="F185" s="4" t="n">
        <v>1719</v>
      </c>
      <c r="G185" s="4" t="n">
        <v>1085</v>
      </c>
      <c r="H185" s="4" t="n">
        <v>457</v>
      </c>
      <c r="I185" s="4" t="n">
        <v>124</v>
      </c>
      <c r="J185" s="4" t="inlineStr"/>
    </row>
    <row r="186">
      <c r="A186" s="4" t="inlineStr">
        <is>
          <t>A18</t>
        </is>
      </c>
      <c r="B186" s="4" t="inlineStr">
        <is>
          <t>PVC board 18 mm</t>
        </is>
      </c>
      <c r="C186" s="4" t="n">
        <v>68</v>
      </c>
      <c r="D186" s="4" t="inlineStr">
        <is>
          <t>Base_Sink_900</t>
        </is>
      </c>
      <c r="E186" s="4" t="inlineStr">
        <is>
          <t>Plinth_Side_B</t>
        </is>
      </c>
      <c r="F186" s="4" t="n">
        <v>5</v>
      </c>
      <c r="G186" s="4" t="n">
        <v>1095</v>
      </c>
      <c r="H186" s="4" t="n">
        <v>454</v>
      </c>
      <c r="I186" s="4" t="n">
        <v>100</v>
      </c>
      <c r="J186" s="4" t="inlineStr"/>
    </row>
    <row r="187">
      <c r="A187" s="4" t="inlineStr">
        <is>
          <t>A19</t>
        </is>
      </c>
      <c r="B187" s="4" t="inlineStr">
        <is>
          <t>PVC board 18 mm</t>
        </is>
      </c>
      <c r="C187" s="4" t="n">
        <v>208</v>
      </c>
      <c r="D187" s="4" t="inlineStr">
        <is>
          <t>Upper_Prep_600</t>
        </is>
      </c>
      <c r="E187" s="4" t="inlineStr">
        <is>
          <t>Bottom</t>
        </is>
      </c>
      <c r="F187" s="4" t="n">
        <v>5</v>
      </c>
      <c r="G187" s="4" t="n">
        <v>5</v>
      </c>
      <c r="H187" s="4" t="n">
        <v>564</v>
      </c>
      <c r="I187" s="4" t="n">
        <v>294</v>
      </c>
      <c r="J187" s="4" t="inlineStr"/>
    </row>
    <row r="188">
      <c r="A188" s="4" t="inlineStr">
        <is>
          <t>A19</t>
        </is>
      </c>
      <c r="B188" s="4" t="inlineStr">
        <is>
          <t>PVC board 18 mm</t>
        </is>
      </c>
      <c r="C188" s="4" t="n">
        <v>129</v>
      </c>
      <c r="D188" s="4" t="inlineStr">
        <is>
          <t>Over_Ref_Cabinet</t>
        </is>
      </c>
      <c r="E188" s="4" t="inlineStr">
        <is>
          <t>Door_1</t>
        </is>
      </c>
      <c r="F188" s="4" t="n">
        <v>573</v>
      </c>
      <c r="G188" s="4" t="n">
        <v>5</v>
      </c>
      <c r="H188" s="4" t="n">
        <v>472</v>
      </c>
      <c r="I188" s="4" t="n">
        <v>454</v>
      </c>
      <c r="J188" s="4" t="inlineStr"/>
    </row>
    <row r="189">
      <c r="A189" s="4" t="inlineStr">
        <is>
          <t>A19</t>
        </is>
      </c>
      <c r="B189" s="4" t="inlineStr">
        <is>
          <t>PVC board 18 mm</t>
        </is>
      </c>
      <c r="C189" s="4" t="n">
        <v>3</v>
      </c>
      <c r="D189" s="4" t="inlineStr">
        <is>
          <t>Appliance_Garage_900</t>
        </is>
      </c>
      <c r="E189" s="4" t="inlineStr">
        <is>
          <t>Side_A</t>
        </is>
      </c>
      <c r="F189" s="4" t="n">
        <v>1049</v>
      </c>
      <c r="G189" s="4" t="n">
        <v>5</v>
      </c>
      <c r="H189" s="4" t="n">
        <v>458</v>
      </c>
      <c r="I189" s="4" t="n">
        <v>382</v>
      </c>
      <c r="J189" s="4" t="inlineStr"/>
    </row>
    <row r="190">
      <c r="A190" s="4" t="inlineStr">
        <is>
          <t>A19</t>
        </is>
      </c>
      <c r="B190" s="4" t="inlineStr">
        <is>
          <t>PVC board 18 mm</t>
        </is>
      </c>
      <c r="C190" s="4" t="n">
        <v>1</v>
      </c>
      <c r="D190" s="4" t="inlineStr">
        <is>
          <t>Appliance_Garage_900</t>
        </is>
      </c>
      <c r="E190" s="4" t="inlineStr">
        <is>
          <t>Door_1</t>
        </is>
      </c>
      <c r="F190" s="4" t="n">
        <v>1511</v>
      </c>
      <c r="G190" s="4" t="n">
        <v>5</v>
      </c>
      <c r="H190" s="4" t="n">
        <v>455</v>
      </c>
      <c r="I190" s="4" t="n">
        <v>447</v>
      </c>
      <c r="J190" s="4" t="inlineStr"/>
    </row>
    <row r="191">
      <c r="A191" s="4" t="inlineStr">
        <is>
          <t>A19</t>
        </is>
      </c>
      <c r="B191" s="4" t="inlineStr">
        <is>
          <t>PVC board 18 mm</t>
        </is>
      </c>
      <c r="C191" s="4" t="n">
        <v>2</v>
      </c>
      <c r="D191" s="4" t="inlineStr">
        <is>
          <t>Appliance_Garage_900</t>
        </is>
      </c>
      <c r="E191" s="4" t="inlineStr">
        <is>
          <t>Door_2</t>
        </is>
      </c>
      <c r="F191" s="4" t="n">
        <v>1970</v>
      </c>
      <c r="G191" s="4" t="n">
        <v>5</v>
      </c>
      <c r="H191" s="4" t="n">
        <v>455</v>
      </c>
      <c r="I191" s="4" t="n">
        <v>447</v>
      </c>
      <c r="J191" s="4" t="inlineStr"/>
    </row>
    <row r="192">
      <c r="A192" s="4" t="inlineStr">
        <is>
          <t>A19</t>
        </is>
      </c>
      <c r="B192" s="4" t="inlineStr">
        <is>
          <t>PVC board 18 mm</t>
        </is>
      </c>
      <c r="C192" s="4" t="n">
        <v>214</v>
      </c>
      <c r="D192" s="4" t="inlineStr">
        <is>
          <t>Upper_Prep_600</t>
        </is>
      </c>
      <c r="E192" s="4" t="inlineStr">
        <is>
          <t>Top</t>
        </is>
      </c>
      <c r="F192" s="4" t="n">
        <v>5</v>
      </c>
      <c r="G192" s="4" t="n">
        <v>303</v>
      </c>
      <c r="H192" s="4" t="n">
        <v>564</v>
      </c>
      <c r="I192" s="4" t="n">
        <v>294</v>
      </c>
      <c r="J192" s="4" t="inlineStr"/>
    </row>
    <row r="193">
      <c r="A193" s="4" t="inlineStr">
        <is>
          <t>A19</t>
        </is>
      </c>
      <c r="B193" s="4" t="inlineStr">
        <is>
          <t>PVC board 18 mm</t>
        </is>
      </c>
      <c r="C193" s="4" t="n">
        <v>4</v>
      </c>
      <c r="D193" s="4" t="inlineStr">
        <is>
          <t>Appliance_Garage_900</t>
        </is>
      </c>
      <c r="E193" s="4" t="inlineStr">
        <is>
          <t>Side_B</t>
        </is>
      </c>
      <c r="F193" s="4" t="n">
        <v>1049</v>
      </c>
      <c r="G193" s="4" t="n">
        <v>391</v>
      </c>
      <c r="H193" s="4" t="n">
        <v>458</v>
      </c>
      <c r="I193" s="4" t="n">
        <v>382</v>
      </c>
      <c r="J193" s="4" t="inlineStr"/>
    </row>
    <row r="194">
      <c r="A194" s="4" t="inlineStr">
        <is>
          <t>A19</t>
        </is>
      </c>
      <c r="B194" s="4" t="inlineStr">
        <is>
          <t>PVC board 18 mm</t>
        </is>
      </c>
      <c r="C194" s="4" t="n">
        <v>78</v>
      </c>
      <c r="D194" s="4" t="inlineStr">
        <is>
          <t>Island_1_Racks_450</t>
        </is>
      </c>
      <c r="E194" s="4" t="inlineStr">
        <is>
          <t>DrawerFront_1</t>
        </is>
      </c>
      <c r="F194" s="4" t="n">
        <v>1511</v>
      </c>
      <c r="G194" s="4" t="n">
        <v>456</v>
      </c>
      <c r="H194" s="4" t="n">
        <v>447</v>
      </c>
      <c r="I194" s="4" t="n">
        <v>307.4</v>
      </c>
      <c r="J194" s="4" t="inlineStr"/>
    </row>
    <row r="195">
      <c r="A195" s="4" t="inlineStr">
        <is>
          <t>A19</t>
        </is>
      </c>
      <c r="B195" s="4" t="inlineStr">
        <is>
          <t>PVC board 18 mm</t>
        </is>
      </c>
      <c r="C195" s="4" t="n">
        <v>79</v>
      </c>
      <c r="D195" s="4" t="inlineStr">
        <is>
          <t>Island_1_Racks_450</t>
        </is>
      </c>
      <c r="E195" s="4" t="inlineStr">
        <is>
          <t>DrawerFront_2</t>
        </is>
      </c>
      <c r="F195" s="4" t="n">
        <v>1962</v>
      </c>
      <c r="G195" s="4" t="n">
        <v>456</v>
      </c>
      <c r="H195" s="4" t="n">
        <v>447</v>
      </c>
      <c r="I195" s="4" t="n">
        <v>268.6</v>
      </c>
      <c r="J195" s="4" t="inlineStr"/>
    </row>
    <row r="196">
      <c r="A196" s="4" t="inlineStr">
        <is>
          <t>A19</t>
        </is>
      </c>
      <c r="B196" s="4" t="inlineStr">
        <is>
          <t>PVC board 18 mm</t>
        </is>
      </c>
      <c r="C196" s="4" t="n">
        <v>130</v>
      </c>
      <c r="D196" s="4" t="inlineStr">
        <is>
          <t>Over_Ref_Cabinet</t>
        </is>
      </c>
      <c r="E196" s="4" t="inlineStr">
        <is>
          <t>Door_2</t>
        </is>
      </c>
      <c r="F196" s="4" t="n">
        <v>573</v>
      </c>
      <c r="G196" s="4" t="n">
        <v>463</v>
      </c>
      <c r="H196" s="4" t="n">
        <v>472</v>
      </c>
      <c r="I196" s="4" t="n">
        <v>454</v>
      </c>
      <c r="J196" s="4" t="inlineStr"/>
    </row>
    <row r="197">
      <c r="A197" s="4" t="inlineStr">
        <is>
          <t>A19</t>
        </is>
      </c>
      <c r="B197" s="4" t="inlineStr">
        <is>
          <t>PVC board 18 mm</t>
        </is>
      </c>
      <c r="C197" s="4" t="n">
        <v>210</v>
      </c>
      <c r="D197" s="4" t="inlineStr">
        <is>
          <t>Upper_Prep_600</t>
        </is>
      </c>
      <c r="E197" s="4" t="inlineStr">
        <is>
          <t>Shelf_1</t>
        </is>
      </c>
      <c r="F197" s="4" t="n">
        <v>5</v>
      </c>
      <c r="G197" s="4" t="n">
        <v>601</v>
      </c>
      <c r="H197" s="4" t="n">
        <v>564</v>
      </c>
      <c r="I197" s="4" t="n">
        <v>256</v>
      </c>
      <c r="J197" s="4" t="inlineStr"/>
    </row>
    <row r="198">
      <c r="A198" s="4" t="inlineStr">
        <is>
          <t>A19</t>
        </is>
      </c>
      <c r="B198" s="4" t="inlineStr">
        <is>
          <t>PVC board 18 mm</t>
        </is>
      </c>
      <c r="C198" s="4" t="n">
        <v>113</v>
      </c>
      <c r="D198" s="4" t="inlineStr">
        <is>
          <t>Island_3_Racks_450</t>
        </is>
      </c>
      <c r="E198" s="4" t="inlineStr">
        <is>
          <t>DrawerFront_2</t>
        </is>
      </c>
      <c r="F198" s="4" t="n">
        <v>1962</v>
      </c>
      <c r="G198" s="4" t="n">
        <v>729</v>
      </c>
      <c r="H198" s="4" t="n">
        <v>447</v>
      </c>
      <c r="I198" s="4" t="n">
        <v>268.6</v>
      </c>
      <c r="J198" s="4" t="inlineStr"/>
    </row>
    <row r="199">
      <c r="A199" s="4" t="inlineStr">
        <is>
          <t>A19</t>
        </is>
      </c>
      <c r="B199" s="4" t="inlineStr">
        <is>
          <t>PVC board 18 mm</t>
        </is>
      </c>
      <c r="C199" s="4" t="n">
        <v>112</v>
      </c>
      <c r="D199" s="4" t="inlineStr">
        <is>
          <t>Island_3_Racks_450</t>
        </is>
      </c>
      <c r="E199" s="4" t="inlineStr">
        <is>
          <t>DrawerFront_1</t>
        </is>
      </c>
      <c r="F199" s="4" t="n">
        <v>1511</v>
      </c>
      <c r="G199" s="4" t="n">
        <v>767</v>
      </c>
      <c r="H199" s="4" t="n">
        <v>447</v>
      </c>
      <c r="I199" s="4" t="n">
        <v>307.4</v>
      </c>
      <c r="J199" s="4" t="inlineStr"/>
    </row>
    <row r="200">
      <c r="A200" s="4" t="inlineStr">
        <is>
          <t>A19</t>
        </is>
      </c>
      <c r="B200" s="4" t="inlineStr">
        <is>
          <t>PVC board 18 mm</t>
        </is>
      </c>
      <c r="C200" s="4" t="n">
        <v>150</v>
      </c>
      <c r="D200" s="4" t="inlineStr">
        <is>
          <t>Pantry_600</t>
        </is>
      </c>
      <c r="E200" s="4" t="inlineStr">
        <is>
          <t>Plinth_Side_B</t>
        </is>
      </c>
      <c r="F200" s="4" t="n">
        <v>1049</v>
      </c>
      <c r="G200" s="4" t="n">
        <v>777</v>
      </c>
      <c r="H200" s="4" t="n">
        <v>454</v>
      </c>
      <c r="I200" s="4" t="n">
        <v>100</v>
      </c>
      <c r="J200" s="4" t="inlineStr"/>
    </row>
    <row r="201">
      <c r="A201" s="4" t="inlineStr">
        <is>
          <t>A19</t>
        </is>
      </c>
      <c r="B201" s="4" t="inlineStr">
        <is>
          <t>PVC board 18 mm</t>
        </is>
      </c>
      <c r="C201" s="4" t="n">
        <v>211</v>
      </c>
      <c r="D201" s="4" t="inlineStr">
        <is>
          <t>Upper_Prep_600</t>
        </is>
      </c>
      <c r="E201" s="4" t="inlineStr">
        <is>
          <t>Shelf_2</t>
        </is>
      </c>
      <c r="F201" s="4" t="n">
        <v>5</v>
      </c>
      <c r="G201" s="4" t="n">
        <v>861</v>
      </c>
      <c r="H201" s="4" t="n">
        <v>564</v>
      </c>
      <c r="I201" s="4" t="n">
        <v>256</v>
      </c>
      <c r="J201" s="4" t="inlineStr"/>
    </row>
    <row r="202">
      <c r="A202" s="4" t="inlineStr">
        <is>
          <t>A19</t>
        </is>
      </c>
      <c r="B202" s="4" t="inlineStr">
        <is>
          <t>PVC board 18 mm</t>
        </is>
      </c>
      <c r="C202" s="4" t="n">
        <v>86</v>
      </c>
      <c r="D202" s="4" t="inlineStr">
        <is>
          <t>Island_1_Racks_450</t>
        </is>
      </c>
      <c r="E202" s="4" t="inlineStr">
        <is>
          <t>Plinth_Back</t>
        </is>
      </c>
      <c r="F202" s="4" t="n">
        <v>1049</v>
      </c>
      <c r="G202" s="4" t="n">
        <v>881</v>
      </c>
      <c r="H202" s="4" t="n">
        <v>450</v>
      </c>
      <c r="I202" s="4" t="n">
        <v>100</v>
      </c>
      <c r="J202" s="4" t="inlineStr"/>
    </row>
    <row r="203">
      <c r="A203" s="4" t="inlineStr">
        <is>
          <t>A19</t>
        </is>
      </c>
      <c r="B203" s="4" t="inlineStr">
        <is>
          <t>PVC board 18 mm</t>
        </is>
      </c>
      <c r="C203" s="4" t="n">
        <v>104</v>
      </c>
      <c r="D203" s="4" t="inlineStr">
        <is>
          <t>Island_2_Induction_750</t>
        </is>
      </c>
      <c r="E203" s="4" t="inlineStr">
        <is>
          <t>Plinth_Side_A</t>
        </is>
      </c>
      <c r="F203" s="4" t="n">
        <v>573</v>
      </c>
      <c r="G203" s="4" t="n">
        <v>921</v>
      </c>
      <c r="H203" s="4" t="n">
        <v>454</v>
      </c>
      <c r="I203" s="4" t="n">
        <v>100</v>
      </c>
      <c r="J203" s="4" t="inlineStr"/>
    </row>
    <row r="204">
      <c r="A204" s="4" t="inlineStr">
        <is>
          <t>A19</t>
        </is>
      </c>
      <c r="B204" s="4" t="inlineStr">
        <is>
          <t>PVC board 18 mm</t>
        </is>
      </c>
      <c r="C204" s="4" t="n">
        <v>120</v>
      </c>
      <c r="D204" s="4" t="inlineStr">
        <is>
          <t>Island_3_Racks_450</t>
        </is>
      </c>
      <c r="E204" s="4" t="inlineStr">
        <is>
          <t>Plinth_Back</t>
        </is>
      </c>
      <c r="F204" s="4" t="n">
        <v>1049</v>
      </c>
      <c r="G204" s="4" t="n">
        <v>985</v>
      </c>
      <c r="H204" s="4" t="n">
        <v>450</v>
      </c>
      <c r="I204" s="4" t="n">
        <v>100</v>
      </c>
      <c r="J204" s="4" t="inlineStr"/>
    </row>
    <row r="205">
      <c r="A205" s="4" t="inlineStr">
        <is>
          <t>A19</t>
        </is>
      </c>
      <c r="B205" s="4" t="inlineStr">
        <is>
          <t>PVC board 18 mm</t>
        </is>
      </c>
      <c r="C205" s="4" t="n">
        <v>80</v>
      </c>
      <c r="D205" s="4" t="inlineStr">
        <is>
          <t>Island_1_Racks_450</t>
        </is>
      </c>
      <c r="E205" s="4" t="inlineStr">
        <is>
          <t>DrawerFront_3</t>
        </is>
      </c>
      <c r="F205" s="4" t="n">
        <v>1962</v>
      </c>
      <c r="G205" s="4" t="n">
        <v>1001</v>
      </c>
      <c r="H205" s="4" t="n">
        <v>447</v>
      </c>
      <c r="I205" s="4" t="n">
        <v>191</v>
      </c>
      <c r="J205" s="4" t="inlineStr"/>
    </row>
    <row r="206">
      <c r="A206" s="4" t="inlineStr">
        <is>
          <t>A19</t>
        </is>
      </c>
      <c r="B206" s="4" t="inlineStr">
        <is>
          <t>PVC board 18 mm</t>
        </is>
      </c>
      <c r="C206" s="4" t="n">
        <v>105</v>
      </c>
      <c r="D206" s="4" t="inlineStr">
        <is>
          <t>Island_2_Induction_750</t>
        </is>
      </c>
      <c r="E206" s="4" t="inlineStr">
        <is>
          <t>Plinth_Side_B</t>
        </is>
      </c>
      <c r="F206" s="4" t="n">
        <v>573</v>
      </c>
      <c r="G206" s="4" t="n">
        <v>1025</v>
      </c>
      <c r="H206" s="4" t="n">
        <v>454</v>
      </c>
      <c r="I206" s="4" t="n">
        <v>100</v>
      </c>
      <c r="J206" s="4" t="inlineStr"/>
    </row>
    <row r="207">
      <c r="A207" s="4" t="inlineStr">
        <is>
          <t>A19</t>
        </is>
      </c>
      <c r="B207" s="4" t="inlineStr">
        <is>
          <t>PVC board 18 mm</t>
        </is>
      </c>
      <c r="C207" s="4" t="n">
        <v>92</v>
      </c>
      <c r="D207" s="4" t="inlineStr">
        <is>
          <t>Island_1_Racks_450</t>
        </is>
      </c>
      <c r="E207" s="4" t="inlineStr">
        <is>
          <t>Stretcher_Front</t>
        </is>
      </c>
      <c r="F207" s="4" t="n">
        <v>1511</v>
      </c>
      <c r="G207" s="4" t="n">
        <v>1079</v>
      </c>
      <c r="H207" s="4" t="n">
        <v>414</v>
      </c>
      <c r="I207" s="4" t="n">
        <v>100</v>
      </c>
      <c r="J207" s="4" t="inlineStr"/>
    </row>
    <row r="208">
      <c r="A208" s="4" t="inlineStr">
        <is>
          <t>A19</t>
        </is>
      </c>
      <c r="B208" s="4" t="inlineStr">
        <is>
          <t>PVC board 18 mm</t>
        </is>
      </c>
      <c r="C208" s="4" t="n">
        <v>116</v>
      </c>
      <c r="D208" s="4" t="inlineStr">
        <is>
          <t>Island_3_Racks_450</t>
        </is>
      </c>
      <c r="E208" s="4" t="inlineStr">
        <is>
          <t>Kick_DrawerFront</t>
        </is>
      </c>
      <c r="F208" s="4" t="n">
        <v>1049</v>
      </c>
      <c r="G208" s="4" t="n">
        <v>1089</v>
      </c>
      <c r="H208" s="4" t="n">
        <v>447</v>
      </c>
      <c r="I208" s="4" t="n">
        <v>87</v>
      </c>
      <c r="J208" s="4" t="inlineStr"/>
    </row>
    <row r="209">
      <c r="A209" s="4" t="inlineStr">
        <is>
          <t>A19</t>
        </is>
      </c>
      <c r="B209" s="4" t="inlineStr">
        <is>
          <t>PVC board 18 mm</t>
        </is>
      </c>
      <c r="C209" s="4" t="n">
        <v>145</v>
      </c>
      <c r="D209" s="4" t="inlineStr">
        <is>
          <t>Pantry_600</t>
        </is>
      </c>
      <c r="E209" s="4" t="inlineStr">
        <is>
          <t>Kick_Inner_Front</t>
        </is>
      </c>
      <c r="F209" s="4" t="n">
        <v>5</v>
      </c>
      <c r="G209" s="4" t="n">
        <v>1121</v>
      </c>
      <c r="H209" s="4" t="n">
        <v>503</v>
      </c>
      <c r="I209" s="4" t="n">
        <v>73</v>
      </c>
      <c r="J209" s="4" t="inlineStr"/>
    </row>
    <row r="210">
      <c r="A210" s="4" t="inlineStr">
        <is>
          <t>A19</t>
        </is>
      </c>
      <c r="B210" s="4" t="inlineStr">
        <is>
          <t>PVC board 18 mm</t>
        </is>
      </c>
      <c r="C210" s="4" t="n">
        <v>14</v>
      </c>
      <c r="D210" s="4" t="inlineStr">
        <is>
          <t>Back_Appliance_Racks_900</t>
        </is>
      </c>
      <c r="E210" s="4" t="inlineStr">
        <is>
          <t>Kick_Side_B</t>
        </is>
      </c>
      <c r="F210" s="4" t="n">
        <v>573</v>
      </c>
      <c r="G210" s="4" t="n">
        <v>1129</v>
      </c>
      <c r="H210" s="4" t="n">
        <v>400</v>
      </c>
      <c r="I210" s="4" t="n">
        <v>73</v>
      </c>
      <c r="J210" s="4" t="inlineStr"/>
    </row>
    <row r="211">
      <c r="A211" s="4" t="inlineStr">
        <is>
          <t>A20</t>
        </is>
      </c>
      <c r="B211" s="4" t="inlineStr">
        <is>
          <t>PVC board 18 mm</t>
        </is>
      </c>
      <c r="C211" s="4" t="n">
        <v>85</v>
      </c>
      <c r="D211" s="4" t="inlineStr">
        <is>
          <t>Island_1_Racks_450</t>
        </is>
      </c>
      <c r="E211" s="4" t="inlineStr">
        <is>
          <t>Kick_Side_B</t>
        </is>
      </c>
      <c r="F211" s="4" t="n">
        <v>5</v>
      </c>
      <c r="G211" s="4" t="n">
        <v>5</v>
      </c>
      <c r="H211" s="4" t="n">
        <v>400</v>
      </c>
      <c r="I211" s="4" t="n">
        <v>73</v>
      </c>
      <c r="J211" s="4" t="inlineStr"/>
    </row>
    <row r="212">
      <c r="A212" s="4" t="inlineStr">
        <is>
          <t>A20</t>
        </is>
      </c>
      <c r="B212" s="4" t="inlineStr">
        <is>
          <t>PVC board 18 mm</t>
        </is>
      </c>
      <c r="C212" s="4" t="n">
        <v>45</v>
      </c>
      <c r="D212" s="4" t="inlineStr">
        <is>
          <t>Base_Racks_400</t>
        </is>
      </c>
      <c r="E212" s="4" t="inlineStr">
        <is>
          <t>DrawerFront_3</t>
        </is>
      </c>
      <c r="F212" s="4" t="n">
        <v>409</v>
      </c>
      <c r="G212" s="4" t="n">
        <v>5</v>
      </c>
      <c r="H212" s="4" t="n">
        <v>397</v>
      </c>
      <c r="I212" s="4" t="n">
        <v>191</v>
      </c>
      <c r="J212" s="4" t="inlineStr"/>
    </row>
    <row r="213">
      <c r="A213" s="4" t="inlineStr">
        <is>
          <t>A20</t>
        </is>
      </c>
      <c r="B213" s="4" t="inlineStr">
        <is>
          <t>PVC board 18 mm</t>
        </is>
      </c>
      <c r="C213" s="4" t="n">
        <v>175</v>
      </c>
      <c r="D213" s="4" t="inlineStr">
        <is>
          <t>Upper_400</t>
        </is>
      </c>
      <c r="E213" s="4" t="inlineStr">
        <is>
          <t>Shelf_2</t>
        </is>
      </c>
      <c r="F213" s="4" t="n">
        <v>810</v>
      </c>
      <c r="G213" s="4" t="n">
        <v>5</v>
      </c>
      <c r="H213" s="4" t="n">
        <v>364</v>
      </c>
      <c r="I213" s="4" t="n">
        <v>256</v>
      </c>
      <c r="J213" s="4" t="inlineStr"/>
    </row>
    <row r="214">
      <c r="A214" s="4" t="inlineStr">
        <is>
          <t>A20</t>
        </is>
      </c>
      <c r="B214" s="4" t="inlineStr">
        <is>
          <t>PVC board 18 mm</t>
        </is>
      </c>
      <c r="C214" s="4" t="n">
        <v>101</v>
      </c>
      <c r="D214" s="4" t="inlineStr">
        <is>
          <t>Island_2_Induction_750</t>
        </is>
      </c>
      <c r="E214" s="4" t="inlineStr">
        <is>
          <t>Kick_Side_A</t>
        </is>
      </c>
      <c r="F214" s="4" t="n">
        <v>5</v>
      </c>
      <c r="G214" s="4" t="n">
        <v>82</v>
      </c>
      <c r="H214" s="4" t="n">
        <v>400</v>
      </c>
      <c r="I214" s="4" t="n">
        <v>73</v>
      </c>
      <c r="J214" s="4" t="inlineStr"/>
    </row>
    <row r="215">
      <c r="A215" s="4" t="inlineStr">
        <is>
          <t>A20</t>
        </is>
      </c>
      <c r="B215" s="4" t="inlineStr">
        <is>
          <t>PVC board 18 mm</t>
        </is>
      </c>
      <c r="C215" s="4" t="n">
        <v>102</v>
      </c>
      <c r="D215" s="4" t="inlineStr">
        <is>
          <t>Island_2_Induction_750</t>
        </is>
      </c>
      <c r="E215" s="4" t="inlineStr">
        <is>
          <t>Kick_Side_B</t>
        </is>
      </c>
      <c r="F215" s="4" t="n">
        <v>5</v>
      </c>
      <c r="G215" s="4" t="n">
        <v>159</v>
      </c>
      <c r="H215" s="4" t="n">
        <v>400</v>
      </c>
      <c r="I215" s="4" t="n">
        <v>73</v>
      </c>
      <c r="J215" s="4" t="inlineStr"/>
    </row>
    <row r="216">
      <c r="A216" s="4" t="inlineStr">
        <is>
          <t>A20</t>
        </is>
      </c>
      <c r="B216" s="4" t="inlineStr">
        <is>
          <t>PVC board 18 mm</t>
        </is>
      </c>
      <c r="C216" s="4" t="n">
        <v>172</v>
      </c>
      <c r="D216" s="4" t="inlineStr">
        <is>
          <t>Upper_400</t>
        </is>
      </c>
      <c r="E216" s="4" t="inlineStr">
        <is>
          <t>Bottom</t>
        </is>
      </c>
      <c r="F216" s="4" t="n">
        <v>409</v>
      </c>
      <c r="G216" s="4" t="n">
        <v>200</v>
      </c>
      <c r="H216" s="4" t="n">
        <v>364</v>
      </c>
      <c r="I216" s="4" t="n">
        <v>294</v>
      </c>
      <c r="J216" s="4" t="inlineStr"/>
    </row>
    <row r="217">
      <c r="A217" s="4" t="inlineStr">
        <is>
          <t>A20</t>
        </is>
      </c>
      <c r="B217" s="4" t="inlineStr">
        <is>
          <t>PVC board 18 mm</t>
        </is>
      </c>
      <c r="C217" s="4" t="n">
        <v>118</v>
      </c>
      <c r="D217" s="4" t="inlineStr">
        <is>
          <t>Island_3_Racks_450</t>
        </is>
      </c>
      <c r="E217" s="4" t="inlineStr">
        <is>
          <t>Kick_Side_A</t>
        </is>
      </c>
      <c r="F217" s="4" t="n">
        <v>5</v>
      </c>
      <c r="G217" s="4" t="n">
        <v>236</v>
      </c>
      <c r="H217" s="4" t="n">
        <v>400</v>
      </c>
      <c r="I217" s="4" t="n">
        <v>73</v>
      </c>
      <c r="J217" s="4" t="inlineStr"/>
    </row>
    <row r="218">
      <c r="A218" s="4" t="inlineStr">
        <is>
          <t>A20</t>
        </is>
      </c>
      <c r="B218" s="4" t="inlineStr">
        <is>
          <t>PVC board 18 mm</t>
        </is>
      </c>
      <c r="C218" s="4" t="n">
        <v>57</v>
      </c>
      <c r="D218" s="4" t="inlineStr">
        <is>
          <t>Base_Racks_400</t>
        </is>
      </c>
      <c r="E218" s="4" t="inlineStr">
        <is>
          <t>Stretcher_Front</t>
        </is>
      </c>
      <c r="F218" s="4" t="n">
        <v>810</v>
      </c>
      <c r="G218" s="4" t="n">
        <v>265</v>
      </c>
      <c r="H218" s="4" t="n">
        <v>364</v>
      </c>
      <c r="I218" s="4" t="n">
        <v>100</v>
      </c>
      <c r="J218" s="4" t="inlineStr"/>
    </row>
    <row r="219">
      <c r="A219" s="4" t="inlineStr">
        <is>
          <t>A20</t>
        </is>
      </c>
      <c r="B219" s="4" t="inlineStr">
        <is>
          <t>PVC board 18 mm</t>
        </is>
      </c>
      <c r="C219" s="4" t="n">
        <v>119</v>
      </c>
      <c r="D219" s="4" t="inlineStr">
        <is>
          <t>Island_3_Racks_450</t>
        </is>
      </c>
      <c r="E219" s="4" t="inlineStr">
        <is>
          <t>Kick_Side_B</t>
        </is>
      </c>
      <c r="F219" s="4" t="n">
        <v>5</v>
      </c>
      <c r="G219" s="4" t="n">
        <v>313</v>
      </c>
      <c r="H219" s="4" t="n">
        <v>400</v>
      </c>
      <c r="I219" s="4" t="n">
        <v>73</v>
      </c>
      <c r="J219" s="4" t="inlineStr"/>
    </row>
    <row r="220">
      <c r="A220" s="4" t="inlineStr">
        <is>
          <t>A20</t>
        </is>
      </c>
      <c r="B220" s="4" t="inlineStr">
        <is>
          <t>PVC board 18 mm</t>
        </is>
      </c>
      <c r="C220" s="4" t="n">
        <v>81</v>
      </c>
      <c r="D220" s="4" t="inlineStr">
        <is>
          <t>Island_1_Racks_450</t>
        </is>
      </c>
      <c r="E220" s="4" t="inlineStr">
        <is>
          <t>Kick_Back</t>
        </is>
      </c>
      <c r="F220" s="4" t="n">
        <v>810</v>
      </c>
      <c r="G220" s="4" t="n">
        <v>369</v>
      </c>
      <c r="H220" s="4" t="n">
        <v>353</v>
      </c>
      <c r="I220" s="4" t="n">
        <v>73</v>
      </c>
      <c r="J220" s="4" t="inlineStr"/>
    </row>
    <row r="221">
      <c r="A221" s="4" t="inlineStr">
        <is>
          <t>A20</t>
        </is>
      </c>
      <c r="B221" s="4" t="inlineStr">
        <is>
          <t>PVC board 18 mm</t>
        </is>
      </c>
      <c r="C221" s="4" t="n">
        <v>146</v>
      </c>
      <c r="D221" s="4" t="inlineStr">
        <is>
          <t>Pantry_600</t>
        </is>
      </c>
      <c r="E221" s="4" t="inlineStr">
        <is>
          <t>Kick_Side_A</t>
        </is>
      </c>
      <c r="F221" s="4" t="n">
        <v>5</v>
      </c>
      <c r="G221" s="4" t="n">
        <v>390</v>
      </c>
      <c r="H221" s="4" t="n">
        <v>400</v>
      </c>
      <c r="I221" s="4" t="n">
        <v>73</v>
      </c>
      <c r="J221" s="4" t="inlineStr"/>
    </row>
    <row r="222">
      <c r="A222" s="4" t="inlineStr">
        <is>
          <t>A20</t>
        </is>
      </c>
      <c r="B222" s="4" t="inlineStr">
        <is>
          <t>PVC board 18 mm</t>
        </is>
      </c>
      <c r="C222" s="4" t="n">
        <v>83</v>
      </c>
      <c r="D222" s="4" t="inlineStr">
        <is>
          <t>Island_1_Racks_450</t>
        </is>
      </c>
      <c r="E222" s="4" t="inlineStr">
        <is>
          <t>Kick_Inner_Front</t>
        </is>
      </c>
      <c r="F222" s="4" t="n">
        <v>810</v>
      </c>
      <c r="G222" s="4" t="n">
        <v>446</v>
      </c>
      <c r="H222" s="4" t="n">
        <v>353</v>
      </c>
      <c r="I222" s="4" t="n">
        <v>73</v>
      </c>
      <c r="J222" s="4" t="inlineStr"/>
    </row>
    <row r="223">
      <c r="A223" s="4" t="inlineStr">
        <is>
          <t>A20</t>
        </is>
      </c>
      <c r="B223" s="4" t="inlineStr">
        <is>
          <t>PVC board 18 mm</t>
        </is>
      </c>
      <c r="C223" s="4" t="n">
        <v>147</v>
      </c>
      <c r="D223" s="4" t="inlineStr">
        <is>
          <t>Pantry_600</t>
        </is>
      </c>
      <c r="E223" s="4" t="inlineStr">
        <is>
          <t>Kick_Side_B</t>
        </is>
      </c>
      <c r="F223" s="4" t="n">
        <v>5</v>
      </c>
      <c r="G223" s="4" t="n">
        <v>467</v>
      </c>
      <c r="H223" s="4" t="n">
        <v>400</v>
      </c>
      <c r="I223" s="4" t="n">
        <v>73</v>
      </c>
      <c r="J223" s="4" t="inlineStr"/>
    </row>
    <row r="224">
      <c r="A224" s="4" t="inlineStr">
        <is>
          <t>A20</t>
        </is>
      </c>
      <c r="B224" s="4" t="inlineStr">
        <is>
          <t>PVC board 18 mm</t>
        </is>
      </c>
      <c r="C224" s="4" t="n">
        <v>178</v>
      </c>
      <c r="D224" s="4" t="inlineStr">
        <is>
          <t>Upper_400</t>
        </is>
      </c>
      <c r="E224" s="4" t="inlineStr">
        <is>
          <t>Top</t>
        </is>
      </c>
      <c r="F224" s="4" t="n">
        <v>409</v>
      </c>
      <c r="G224" s="4" t="n">
        <v>498</v>
      </c>
      <c r="H224" s="4" t="n">
        <v>364</v>
      </c>
      <c r="I224" s="4" t="n">
        <v>294</v>
      </c>
      <c r="J224" s="4" t="inlineStr"/>
    </row>
    <row r="225">
      <c r="A225" s="4" t="inlineStr">
        <is>
          <t>A20</t>
        </is>
      </c>
      <c r="B225" s="4" t="inlineStr">
        <is>
          <t>PVC board 18 mm</t>
        </is>
      </c>
      <c r="C225" s="4" t="n">
        <v>115</v>
      </c>
      <c r="D225" s="4" t="inlineStr">
        <is>
          <t>Island_3_Racks_450</t>
        </is>
      </c>
      <c r="E225" s="4" t="inlineStr">
        <is>
          <t>Kick_Back</t>
        </is>
      </c>
      <c r="F225" s="4" t="n">
        <v>810</v>
      </c>
      <c r="G225" s="4" t="n">
        <v>523</v>
      </c>
      <c r="H225" s="4" t="n">
        <v>353</v>
      </c>
      <c r="I225" s="4" t="n">
        <v>73</v>
      </c>
      <c r="J225" s="4" t="inlineStr"/>
    </row>
    <row r="226">
      <c r="A226" s="4" t="inlineStr">
        <is>
          <t>A20</t>
        </is>
      </c>
      <c r="B226" s="4" t="inlineStr">
        <is>
          <t>PVC board 18 mm</t>
        </is>
      </c>
      <c r="C226" s="4" t="n">
        <v>43</v>
      </c>
      <c r="D226" s="4" t="inlineStr">
        <is>
          <t>Base_Racks_400</t>
        </is>
      </c>
      <c r="E226" s="4" t="inlineStr">
        <is>
          <t>DrawerFront_1</t>
        </is>
      </c>
      <c r="F226" s="4" t="n">
        <v>5</v>
      </c>
      <c r="G226" s="4" t="n">
        <v>544</v>
      </c>
      <c r="H226" s="4" t="n">
        <v>397</v>
      </c>
      <c r="I226" s="4" t="n">
        <v>307.4</v>
      </c>
      <c r="J226" s="4" t="inlineStr"/>
    </row>
    <row r="227">
      <c r="A227" s="4" t="inlineStr">
        <is>
          <t>A20</t>
        </is>
      </c>
      <c r="B227" s="4" t="inlineStr">
        <is>
          <t>PVC board 18 mm</t>
        </is>
      </c>
      <c r="C227" s="4" t="n">
        <v>117</v>
      </c>
      <c r="D227" s="4" t="inlineStr">
        <is>
          <t>Island_3_Racks_450</t>
        </is>
      </c>
      <c r="E227" s="4" t="inlineStr">
        <is>
          <t>Kick_Inner_Front</t>
        </is>
      </c>
      <c r="F227" s="4" t="n">
        <v>810</v>
      </c>
      <c r="G227" s="4" t="n">
        <v>600</v>
      </c>
      <c r="H227" s="4" t="n">
        <v>353</v>
      </c>
      <c r="I227" s="4" t="n">
        <v>73</v>
      </c>
      <c r="J227" s="4" t="inlineStr"/>
    </row>
    <row r="228">
      <c r="A228" s="4" t="inlineStr">
        <is>
          <t>A20</t>
        </is>
      </c>
      <c r="B228" s="4" t="inlineStr">
        <is>
          <t>PVC board 18 mm</t>
        </is>
      </c>
      <c r="C228" s="4" t="n">
        <v>174</v>
      </c>
      <c r="D228" s="4" t="inlineStr">
        <is>
          <t>Upper_400</t>
        </is>
      </c>
      <c r="E228" s="4" t="inlineStr">
        <is>
          <t>Shelf_1</t>
        </is>
      </c>
      <c r="F228" s="4" t="n">
        <v>409</v>
      </c>
      <c r="G228" s="4" t="n">
        <v>796</v>
      </c>
      <c r="H228" s="4" t="n">
        <v>364</v>
      </c>
      <c r="I228" s="4" t="n">
        <v>256</v>
      </c>
      <c r="J228" s="4" t="inlineStr"/>
    </row>
    <row r="229">
      <c r="A229" s="4" t="inlineStr">
        <is>
          <t>A20</t>
        </is>
      </c>
      <c r="B229" s="4" t="inlineStr">
        <is>
          <t>PVC board 18 mm</t>
        </is>
      </c>
      <c r="C229" s="4" t="n">
        <v>44</v>
      </c>
      <c r="D229" s="4" t="inlineStr">
        <is>
          <t>Base_Racks_400</t>
        </is>
      </c>
      <c r="E229" s="4" t="inlineStr">
        <is>
          <t>DrawerFront_2</t>
        </is>
      </c>
      <c r="F229" s="4" t="n">
        <v>5</v>
      </c>
      <c r="G229" s="4" t="n">
        <v>855</v>
      </c>
      <c r="H229" s="4" t="n">
        <v>397</v>
      </c>
      <c r="I229" s="4" t="n">
        <v>268.6</v>
      </c>
      <c r="J229" s="4" t="inlineStr"/>
    </row>
    <row r="230">
      <c r="A230" s="4" t="inlineStr">
        <is>
          <t>A20</t>
        </is>
      </c>
      <c r="B230" s="4" t="inlineStr">
        <is>
          <t>PVC board 18 mm</t>
        </is>
      </c>
      <c r="C230" s="4" t="n">
        <v>56</v>
      </c>
      <c r="D230" s="4" t="inlineStr">
        <is>
          <t>Base_Racks_400</t>
        </is>
      </c>
      <c r="E230" s="4" t="inlineStr">
        <is>
          <t>Stretcher_Back</t>
        </is>
      </c>
      <c r="F230" s="4" t="n">
        <v>409</v>
      </c>
      <c r="G230" s="4" t="n">
        <v>1056</v>
      </c>
      <c r="H230" s="4" t="n">
        <v>364</v>
      </c>
      <c r="I230" s="4" t="n">
        <v>100</v>
      </c>
      <c r="J230" s="4" t="inlineStr"/>
    </row>
    <row r="231">
      <c r="A231" s="4" t="inlineStr">
        <is>
          <t>A20</t>
        </is>
      </c>
      <c r="B231" s="4" t="inlineStr">
        <is>
          <t>PVC board 18 mm</t>
        </is>
      </c>
      <c r="C231" s="4" t="n">
        <v>47</v>
      </c>
      <c r="D231" s="4" t="inlineStr">
        <is>
          <t>Base_Racks_400</t>
        </is>
      </c>
      <c r="E231" s="4" t="inlineStr">
        <is>
          <t>Kick_DrawerFront</t>
        </is>
      </c>
      <c r="F231" s="4" t="n">
        <v>5</v>
      </c>
      <c r="G231" s="4" t="n">
        <v>1128</v>
      </c>
      <c r="H231" s="4" t="n">
        <v>397</v>
      </c>
      <c r="I231" s="4" t="n">
        <v>87</v>
      </c>
      <c r="J231" s="4" t="inlineStr"/>
    </row>
    <row r="232">
      <c r="A232" s="4" t="inlineStr">
        <is>
          <t>B1</t>
        </is>
      </c>
      <c r="B232" s="4" t="inlineStr">
        <is>
          <t>PVC board 6 mm</t>
        </is>
      </c>
      <c r="C232" s="4" t="n">
        <v>226</v>
      </c>
      <c r="D232" s="4" t="inlineStr">
        <is>
          <t>Back_Appliance_Racks_900</t>
        </is>
      </c>
      <c r="E232" s="4" t="inlineStr">
        <is>
          <t>Kick_Bottom_6mm_PVC</t>
        </is>
      </c>
      <c r="F232" s="4" t="n">
        <v>5</v>
      </c>
      <c r="G232" s="4" t="n">
        <v>5</v>
      </c>
      <c r="H232" s="4" t="n">
        <v>839</v>
      </c>
      <c r="I232" s="4" t="n">
        <v>400</v>
      </c>
      <c r="J232" s="4" t="inlineStr"/>
    </row>
    <row r="233">
      <c r="A233" s="4" t="inlineStr">
        <is>
          <t>B1</t>
        </is>
      </c>
      <c r="B233" s="4" t="inlineStr">
        <is>
          <t>PVC board 6 mm</t>
        </is>
      </c>
      <c r="C233" s="4" t="n">
        <v>227</v>
      </c>
      <c r="D233" s="4" t="inlineStr">
        <is>
          <t>Back_Prep_Racks_600</t>
        </is>
      </c>
      <c r="E233" s="4" t="inlineStr">
        <is>
          <t>Kick_Bottom_6mm_PVC</t>
        </is>
      </c>
      <c r="F233" s="4" t="n">
        <v>848</v>
      </c>
      <c r="G233" s="4" t="n">
        <v>5</v>
      </c>
      <c r="H233" s="4" t="n">
        <v>539</v>
      </c>
      <c r="I233" s="4" t="n">
        <v>400</v>
      </c>
      <c r="J233" s="4" t="inlineStr"/>
    </row>
    <row r="234">
      <c r="A234" s="4" t="inlineStr">
        <is>
          <t>B1</t>
        </is>
      </c>
      <c r="B234" s="4" t="inlineStr">
        <is>
          <t>PVC board 6 mm</t>
        </is>
      </c>
      <c r="C234" s="4" t="n">
        <v>232</v>
      </c>
      <c r="D234" s="4" t="inlineStr">
        <is>
          <t>Island_3_Racks_450</t>
        </is>
      </c>
      <c r="E234" s="4" t="inlineStr">
        <is>
          <t>Kick_Bottom_6mm_PVC</t>
        </is>
      </c>
      <c r="F234" s="4" t="n">
        <v>1391</v>
      </c>
      <c r="G234" s="4" t="n">
        <v>5</v>
      </c>
      <c r="H234" s="4" t="n">
        <v>400</v>
      </c>
      <c r="I234" s="4" t="n">
        <v>389</v>
      </c>
      <c r="J234" s="4" t="inlineStr"/>
    </row>
    <row r="235">
      <c r="A235" s="4" t="inlineStr">
        <is>
          <t>B1</t>
        </is>
      </c>
      <c r="B235" s="4" t="inlineStr">
        <is>
          <t>PVC board 6 mm</t>
        </is>
      </c>
      <c r="C235" s="4" t="n">
        <v>228</v>
      </c>
      <c r="D235" s="4" t="inlineStr">
        <is>
          <t>Base_Racks_400</t>
        </is>
      </c>
      <c r="E235" s="4" t="inlineStr">
        <is>
          <t>Kick_Bottom_6mm_PVC</t>
        </is>
      </c>
      <c r="F235" s="4" t="n">
        <v>1795</v>
      </c>
      <c r="G235" s="4" t="n">
        <v>5</v>
      </c>
      <c r="H235" s="4" t="n">
        <v>400</v>
      </c>
      <c r="I235" s="4" t="n">
        <v>339</v>
      </c>
      <c r="J235" s="4" t="inlineStr"/>
    </row>
    <row r="236">
      <c r="A236" s="4" t="inlineStr">
        <is>
          <t>B1</t>
        </is>
      </c>
      <c r="B236" s="4" t="inlineStr">
        <is>
          <t>PVC board 6 mm</t>
        </is>
      </c>
      <c r="C236" s="4" t="n">
        <v>229</v>
      </c>
      <c r="D236" s="4" t="inlineStr">
        <is>
          <t>Base_Sink_900</t>
        </is>
      </c>
      <c r="E236" s="4" t="inlineStr">
        <is>
          <t>Kick_Bottom_6mm_PVC</t>
        </is>
      </c>
      <c r="F236" s="4" t="n">
        <v>5</v>
      </c>
      <c r="G236" s="4" t="n">
        <v>409</v>
      </c>
      <c r="H236" s="4" t="n">
        <v>839</v>
      </c>
      <c r="I236" s="4" t="n">
        <v>400</v>
      </c>
      <c r="J236" s="4" t="inlineStr"/>
    </row>
    <row r="237">
      <c r="A237" s="4" t="inlineStr">
        <is>
          <t>B1</t>
        </is>
      </c>
      <c r="B237" s="4" t="inlineStr">
        <is>
          <t>PVC board 6 mm</t>
        </is>
      </c>
      <c r="C237" s="4" t="n">
        <v>233</v>
      </c>
      <c r="D237" s="4" t="inlineStr">
        <is>
          <t>Pantry_600</t>
        </is>
      </c>
      <c r="E237" s="4" t="inlineStr">
        <is>
          <t>Kick_Bottom_6mm_PVC</t>
        </is>
      </c>
      <c r="F237" s="4" t="n">
        <v>848</v>
      </c>
      <c r="G237" s="4" t="n">
        <v>409</v>
      </c>
      <c r="H237" s="4" t="n">
        <v>539</v>
      </c>
      <c r="I237" s="4" t="n">
        <v>400</v>
      </c>
      <c r="J237" s="4" t="inlineStr"/>
    </row>
    <row r="238">
      <c r="A238" s="4" t="inlineStr">
        <is>
          <t>B1</t>
        </is>
      </c>
      <c r="B238" s="4" t="inlineStr">
        <is>
          <t>PVC board 6 mm</t>
        </is>
      </c>
      <c r="C238" s="4" t="n">
        <v>231</v>
      </c>
      <c r="D238" s="4" t="inlineStr">
        <is>
          <t>Island_2_Induction_750</t>
        </is>
      </c>
      <c r="E238" s="4" t="inlineStr">
        <is>
          <t>Kick_Bottom_6mm_PVC</t>
        </is>
      </c>
      <c r="F238" s="4" t="n">
        <v>5</v>
      </c>
      <c r="G238" s="4" t="n">
        <v>813</v>
      </c>
      <c r="H238" s="4" t="n">
        <v>689</v>
      </c>
      <c r="I238" s="4" t="n">
        <v>400</v>
      </c>
      <c r="J238" s="4" t="inlineStr"/>
    </row>
    <row r="239">
      <c r="A239" s="4" t="inlineStr">
        <is>
          <t>B1</t>
        </is>
      </c>
      <c r="B239" s="4" t="inlineStr">
        <is>
          <t>PVC board 6 mm</t>
        </is>
      </c>
      <c r="C239" s="4" t="n">
        <v>230</v>
      </c>
      <c r="D239" s="4" t="inlineStr">
        <is>
          <t>Island_1_Racks_450</t>
        </is>
      </c>
      <c r="E239" s="4" t="inlineStr">
        <is>
          <t>Kick_Bottom_6mm_PVC</t>
        </is>
      </c>
      <c r="F239" s="4" t="n">
        <v>848</v>
      </c>
      <c r="G239" s="4" t="n">
        <v>813</v>
      </c>
      <c r="H239" s="4" t="n">
        <v>400</v>
      </c>
      <c r="I239" s="4" t="n">
        <v>389</v>
      </c>
      <c r="J23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2026-10-24T10:20:51Z</dcterms:created>
  <dcterms:modified xsi:type="dcterms:W3CDTF">2026-10-24T10:20:51Z</dcterms:modified>
</cp:coreProperties>
</file>