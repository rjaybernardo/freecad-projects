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3" customWidth="1" min="1" max="1"/>
    <col width="62" customWidth="1" min="2" max="2"/>
    <col width="8" customWidth="1" min="3" max="3"/>
    <col width="7" customWidth="1" min="4" max="4"/>
    <col width="10" customWidth="1" min="5" max="5"/>
    <col width="10" customWidth="1" min="6" max="6"/>
    <col width="12" customWidth="1" min="7" max="7"/>
    <col width="12" customWidth="1" min="8" max="8"/>
    <col width="48" customWidth="1" min="9" max="9"/>
  </cols>
  <sheetData>
    <row r="1">
      <c r="A1" s="1" t="inlineStr">
        <is>
          <t>Kitchen v3 - costing estimate (PHP)</t>
        </is>
      </c>
    </row>
    <row r="2">
      <c r="A2" t="inlineStr">
        <is>
          <t>Quantities from the v3 model. Unit prices are Philippine market estimates (Oct 2026) - yellow cells: replace with your supplier quotes. Appliances (fridge, stove, washer, induction cooktop, microwave) are not included.</t>
        </is>
      </c>
    </row>
    <row r="4">
      <c r="A4" s="2" t="inlineStr">
        <is>
          <t>Category</t>
        </is>
      </c>
      <c r="B4" s="2" t="inlineStr">
        <is>
          <t>Item</t>
        </is>
      </c>
      <c r="C4" s="2" t="inlineStr">
        <is>
          <t>Qty</t>
        </is>
      </c>
      <c r="D4" s="2" t="inlineStr">
        <is>
          <t>Unit</t>
        </is>
      </c>
      <c r="E4" s="2" t="inlineStr">
        <is>
          <t>Low unit</t>
        </is>
      </c>
      <c r="F4" s="2" t="inlineStr">
        <is>
          <t>High unit</t>
        </is>
      </c>
      <c r="G4" s="2" t="inlineStr">
        <is>
          <t>Low total</t>
        </is>
      </c>
      <c r="H4" s="2" t="inlineStr">
        <is>
          <t>High total</t>
        </is>
      </c>
      <c r="I4" s="2" t="inlineStr">
        <is>
          <t>Note</t>
        </is>
      </c>
    </row>
    <row r="5">
      <c r="A5" t="inlineStr">
        <is>
          <t>Board</t>
        </is>
      </c>
      <c r="B5" t="inlineStr">
        <is>
          <t>PVC board 18 mm 4x8 (cabinet grade, e.g. Versaply)</t>
        </is>
      </c>
      <c r="C5" t="n">
        <v>22</v>
      </c>
      <c r="D5" t="inlineStr">
        <is>
          <t>sheet</t>
        </is>
      </c>
      <c r="E5" s="3" t="n">
        <v>1700</v>
      </c>
      <c r="F5" s="3" t="n">
        <v>3600</v>
      </c>
      <c r="G5" s="4">
        <f>C5*E5</f>
        <v/>
      </c>
      <c r="H5" s="4">
        <f>C5*F5</f>
        <v/>
      </c>
      <c r="I5" t="inlineStr">
        <is>
          <t>21 nested + 1 spare; 227 pieces</t>
        </is>
      </c>
    </row>
    <row r="6">
      <c r="A6" t="inlineStr">
        <is>
          <t>Board</t>
        </is>
      </c>
      <c r="B6" t="inlineStr">
        <is>
          <t>PVC board 6 mm 4x8</t>
        </is>
      </c>
      <c r="C6" t="n">
        <v>1</v>
      </c>
      <c r="D6" t="inlineStr">
        <is>
          <t>sheet</t>
        </is>
      </c>
      <c r="E6" s="3" t="n">
        <v>700</v>
      </c>
      <c r="F6" s="3" t="n">
        <v>1200</v>
      </c>
      <c r="G6" s="4">
        <f>C6*E6</f>
        <v/>
      </c>
      <c r="H6" s="4">
        <f>C6*F6</f>
        <v/>
      </c>
      <c r="I6" t="inlineStr">
        <is>
          <t>toe-kick drawer bottoms</t>
        </is>
      </c>
    </row>
    <row r="7">
      <c r="A7" t="inlineStr">
        <is>
          <t>Countertop</t>
        </is>
      </c>
      <c r="B7" t="inlineStr">
        <is>
          <t>Granite countertop, fabricated + installed (4 pieces)</t>
        </is>
      </c>
      <c r="C7" t="n">
        <v>3.86</v>
      </c>
      <c r="D7" t="inlineStr">
        <is>
          <t>m2</t>
        </is>
      </c>
      <c r="E7" s="3" t="n">
        <v>6500</v>
      </c>
      <c r="F7" s="3" t="n">
        <v>15000</v>
      </c>
      <c r="G7" s="4">
        <f>C7*E7</f>
        <v/>
      </c>
      <c r="H7" s="4">
        <f>C7*F7</f>
        <v/>
      </c>
      <c r="I7" t="inlineStr">
        <is>
          <t>high = premium granite / quartz; fabricator measures on site</t>
        </is>
      </c>
    </row>
    <row r="8">
      <c r="A8" t="inlineStr">
        <is>
          <t>Countertop</t>
        </is>
      </c>
      <c r="B8" t="inlineStr">
        <is>
          <t>Countertop cut-outs (sink, cooktop, pipe notch)</t>
        </is>
      </c>
      <c r="C8" t="n">
        <v>3</v>
      </c>
      <c r="D8" t="inlineStr">
        <is>
          <t>set</t>
        </is>
      </c>
      <c r="E8" s="3" t="n">
        <v>850</v>
      </c>
      <c r="F8" s="3" t="n">
        <v>1500</v>
      </c>
      <c r="G8" s="4">
        <f>C8*E8</f>
        <v/>
      </c>
      <c r="H8" s="4">
        <f>C8*F8</f>
        <v/>
      </c>
      <c r="I8" t="inlineStr"/>
    </row>
    <row r="9">
      <c r="A9" t="inlineStr">
        <is>
          <t>Fittings</t>
        </is>
      </c>
      <c r="B9" t="inlineStr">
        <is>
          <t>Concealed hinge 35 mm soft-close, clip-on</t>
        </is>
      </c>
      <c r="C9" t="n">
        <v>55</v>
      </c>
      <c r="D9" t="inlineStr">
        <is>
          <t>pc</t>
        </is>
      </c>
      <c r="E9" s="3" t="n">
        <v>65</v>
      </c>
      <c r="F9" s="3" t="n">
        <v>350</v>
      </c>
      <c r="G9" s="4">
        <f>C9*E9</f>
        <v/>
      </c>
      <c r="H9" s="4">
        <f>C9*F9</f>
        <v/>
      </c>
      <c r="I9" t="inlineStr">
        <is>
          <t>low = generic, high = Blum / Hafele</t>
        </is>
      </c>
    </row>
    <row r="10">
      <c r="A10" t="inlineStr">
        <is>
          <t>Fittings</t>
        </is>
      </c>
      <c r="B10" t="inlineStr">
        <is>
          <t>Handles or push-to-open latches</t>
        </is>
      </c>
      <c r="C10" t="n">
        <v>36</v>
      </c>
      <c r="D10" t="inlineStr">
        <is>
          <t>pc</t>
        </is>
      </c>
      <c r="E10" s="3" t="n">
        <v>80</v>
      </c>
      <c r="F10" s="3" t="n">
        <v>300</v>
      </c>
      <c r="G10" s="4">
        <f>C10*E10</f>
        <v/>
      </c>
      <c r="H10" s="4">
        <f>C10*F10</f>
        <v/>
      </c>
      <c r="I10" t="inlineStr"/>
    </row>
    <row r="11">
      <c r="A11" t="inlineStr">
        <is>
          <t>Runners</t>
        </is>
      </c>
      <c r="B11" t="inlineStr">
        <is>
          <t>Full-extension soft-close runners 500 mm</t>
        </is>
      </c>
      <c r="C11" t="n">
        <v>14</v>
      </c>
      <c r="D11" t="inlineStr">
        <is>
          <t>pair</t>
        </is>
      </c>
      <c r="E11" s="3" t="n">
        <v>380</v>
      </c>
      <c r="F11" s="3" t="n">
        <v>930</v>
      </c>
      <c r="G11" s="4">
        <f>C11*E11</f>
        <v/>
      </c>
      <c r="H11" s="4">
        <f>C11*F11</f>
        <v/>
      </c>
      <c r="I11" t="inlineStr">
        <is>
          <t>Giano ~380, Hafele ~790-930</t>
        </is>
      </c>
    </row>
    <row r="12">
      <c r="A12" t="inlineStr">
        <is>
          <t>Runners</t>
        </is>
      </c>
      <c r="B12" t="inlineStr">
        <is>
          <t>Full-extension soft-close runners 450 mm</t>
        </is>
      </c>
      <c r="C12" t="n">
        <v>1</v>
      </c>
      <c r="D12" t="inlineStr">
        <is>
          <t>pair</t>
        </is>
      </c>
      <c r="E12" s="3" t="n">
        <v>360</v>
      </c>
      <c r="F12" s="3" t="n">
        <v>900</v>
      </c>
      <c r="G12" s="4">
        <f>C12*E12</f>
        <v/>
      </c>
      <c r="H12" s="4">
        <f>C12*F12</f>
        <v/>
      </c>
      <c r="I12" t="inlineStr">
        <is>
          <t>under-sink tray</t>
        </is>
      </c>
    </row>
    <row r="13">
      <c r="A13" t="inlineStr">
        <is>
          <t>Runners</t>
        </is>
      </c>
      <c r="B13" t="inlineStr">
        <is>
          <t>Toe-kick drawer runners 400 mm, push-to-open</t>
        </is>
      </c>
      <c r="C13" t="n">
        <v>7</v>
      </c>
      <c r="D13" t="inlineStr">
        <is>
          <t>pair</t>
        </is>
      </c>
      <c r="E13" s="3" t="n">
        <v>450</v>
      </c>
      <c r="F13" s="3" t="n">
        <v>1000</v>
      </c>
      <c r="G13" s="4">
        <f>C13*E13</f>
        <v/>
      </c>
      <c r="H13" s="4">
        <f>C13*F13</f>
        <v/>
      </c>
      <c r="I13" t="inlineStr"/>
    </row>
    <row r="14">
      <c r="A14" t="inlineStr">
        <is>
          <t>Racks</t>
        </is>
      </c>
      <c r="B14" t="inlineStr">
        <is>
          <t>Stainless pull-out baskets / trays (drawers)</t>
        </is>
      </c>
      <c r="C14" t="n">
        <v>14</v>
      </c>
      <c r="D14" t="inlineStr">
        <is>
          <t>pc</t>
        </is>
      </c>
      <c r="E14" s="3" t="n">
        <v>1500</v>
      </c>
      <c r="F14" s="3" t="n">
        <v>4500</v>
      </c>
      <c r="G14" s="4">
        <f>C14*E14</f>
        <v/>
      </c>
      <c r="H14" s="4">
        <f>C14*F14</f>
        <v/>
      </c>
      <c r="I14" t="inlineStr">
        <is>
          <t>304 SS; 900-wide ones cost more</t>
        </is>
      </c>
    </row>
    <row r="15">
      <c r="A15" t="inlineStr">
        <is>
          <t>Racks</t>
        </is>
      </c>
      <c r="B15" t="inlineStr">
        <is>
          <t>Under-sink pull-out tray</t>
        </is>
      </c>
      <c r="C15" t="n">
        <v>1</v>
      </c>
      <c r="D15" t="inlineStr">
        <is>
          <t>pc</t>
        </is>
      </c>
      <c r="E15" s="3" t="n">
        <v>1500</v>
      </c>
      <c r="F15" s="3" t="n">
        <v>4000</v>
      </c>
      <c r="G15" s="4">
        <f>C15*E15</f>
        <v/>
      </c>
      <c r="H15" s="4">
        <f>C15*F15</f>
        <v/>
      </c>
      <c r="I15" t="inlineStr"/>
    </row>
    <row r="16">
      <c r="A16" t="inlineStr">
        <is>
          <t>Racks</t>
        </is>
      </c>
      <c r="B16" t="inlineStr">
        <is>
          <t>Dish drainer set 3-tier (900 cabinet)</t>
        </is>
      </c>
      <c r="C16" t="n">
        <v>1</v>
      </c>
      <c r="D16" t="inlineStr">
        <is>
          <t>set</t>
        </is>
      </c>
      <c r="E16" s="3" t="n">
        <v>2500</v>
      </c>
      <c r="F16" s="3" t="n">
        <v>7000</v>
      </c>
      <c r="G16" s="4">
        <f>C16*E16</f>
        <v/>
      </c>
      <c r="H16" s="4">
        <f>C16*F16</f>
        <v/>
      </c>
      <c r="I16" t="inlineStr">
        <is>
          <t>plate + cup tiers + drip tray</t>
        </is>
      </c>
    </row>
    <row r="17">
      <c r="A17" t="inlineStr">
        <is>
          <t>Racks</t>
        </is>
      </c>
      <c r="B17" t="inlineStr">
        <is>
          <t>Detergent caddy (soap cabinet)</t>
        </is>
      </c>
      <c r="C17" t="n">
        <v>1</v>
      </c>
      <c r="D17" t="inlineStr">
        <is>
          <t>pc</t>
        </is>
      </c>
      <c r="E17" s="3" t="n">
        <v>500</v>
      </c>
      <c r="F17" s="3" t="n">
        <v>1500</v>
      </c>
      <c r="G17" s="4">
        <f>C17*E17</f>
        <v/>
      </c>
      <c r="H17" s="4">
        <f>C17*F17</f>
        <v/>
      </c>
      <c r="I17" t="inlineStr"/>
    </row>
    <row r="18">
      <c r="A18" t="inlineStr">
        <is>
          <t>Fasteners</t>
        </is>
      </c>
      <c r="B18" t="inlineStr">
        <is>
          <t>Confirmat / coarse-thread screws</t>
        </is>
      </c>
      <c r="C18" t="n">
        <v>910</v>
      </c>
      <c r="D18" t="inlineStr">
        <is>
          <t>pc</t>
        </is>
      </c>
      <c r="E18" s="3" t="n">
        <v>1.5</v>
      </c>
      <c r="F18" s="3" t="n">
        <v>3</v>
      </c>
      <c r="G18" s="4">
        <f>C18*E18</f>
        <v/>
      </c>
      <c r="H18" s="4">
        <f>C18*F18</f>
        <v/>
      </c>
      <c r="I18" t="inlineStr"/>
    </row>
    <row r="19">
      <c r="A19" t="inlineStr">
        <is>
          <t>Fasteners</t>
        </is>
      </c>
      <c r="B19" t="inlineStr">
        <is>
          <t>Short screws 4x16</t>
        </is>
      </c>
      <c r="C19" t="n">
        <v>704</v>
      </c>
      <c r="D19" t="inlineStr">
        <is>
          <t>pc</t>
        </is>
      </c>
      <c r="E19" s="3" t="n">
        <v>0.5</v>
      </c>
      <c r="F19" s="3" t="n">
        <v>1</v>
      </c>
      <c r="G19" s="4">
        <f>C19*E19</f>
        <v/>
      </c>
      <c r="H19" s="4">
        <f>C19*F19</f>
        <v/>
      </c>
      <c r="I19" t="inlineStr"/>
    </row>
    <row r="20">
      <c r="A20" t="inlineStr">
        <is>
          <t>Fasteners</t>
        </is>
      </c>
      <c r="B20" t="inlineStr">
        <is>
          <t>Shelf pins 5 mm</t>
        </is>
      </c>
      <c r="C20" t="n">
        <v>76</v>
      </c>
      <c r="D20" t="inlineStr">
        <is>
          <t>pc</t>
        </is>
      </c>
      <c r="E20" s="3" t="n">
        <v>3</v>
      </c>
      <c r="F20" s="3" t="n">
        <v>8</v>
      </c>
      <c r="G20" s="4">
        <f>C20*E20</f>
        <v/>
      </c>
      <c r="H20" s="4">
        <f>C20*F20</f>
        <v/>
      </c>
      <c r="I20" t="inlineStr"/>
    </row>
    <row r="21">
      <c r="A21" t="inlineStr">
        <is>
          <t>Wall mount</t>
        </is>
      </c>
      <c r="B21" t="inlineStr">
        <is>
          <t>Wall-cabinet hanging brackets</t>
        </is>
      </c>
      <c r="C21" t="n">
        <v>18</v>
      </c>
      <c r="D21" t="inlineStr">
        <is>
          <t>pc</t>
        </is>
      </c>
      <c r="E21" s="3" t="n">
        <v>150</v>
      </c>
      <c r="F21" s="3" t="n">
        <v>400</v>
      </c>
      <c r="G21" s="4">
        <f>C21*E21</f>
        <v/>
      </c>
      <c r="H21" s="4">
        <f>C21*F21</f>
        <v/>
      </c>
      <c r="I21" t="inlineStr"/>
    </row>
    <row r="22">
      <c r="A22" t="inlineStr">
        <is>
          <t>Wall mount</t>
        </is>
      </c>
      <c r="B22" t="inlineStr">
        <is>
          <t>Masonry anchors 8 mm</t>
        </is>
      </c>
      <c r="C22" t="n">
        <v>36</v>
      </c>
      <c r="D22" t="inlineStr">
        <is>
          <t>pc</t>
        </is>
      </c>
      <c r="E22" s="3" t="n">
        <v>10</v>
      </c>
      <c r="F22" s="3" t="n">
        <v>25</v>
      </c>
      <c r="G22" s="4">
        <f>C22*E22</f>
        <v/>
      </c>
      <c r="H22" s="4">
        <f>C22*F22</f>
        <v/>
      </c>
      <c r="I22" t="inlineStr"/>
    </row>
    <row r="23">
      <c r="A23" t="inlineStr">
        <is>
          <t>Finishing</t>
        </is>
      </c>
      <c r="B23" t="inlineStr">
        <is>
          <t>PVC edge band 22 mm (optional, fronts)</t>
        </is>
      </c>
      <c r="C23" t="n">
        <v>100</v>
      </c>
      <c r="D23" t="inlineStr">
        <is>
          <t>m</t>
        </is>
      </c>
      <c r="E23" s="3" t="n">
        <v>15</v>
      </c>
      <c r="F23" s="3" t="n">
        <v>30</v>
      </c>
      <c r="G23" s="4">
        <f>C23*E23</f>
        <v/>
      </c>
      <c r="H23" s="4">
        <f>C23*F23</f>
        <v/>
      </c>
      <c r="I23" t="inlineStr"/>
    </row>
    <row r="24">
      <c r="A24" t="inlineStr">
        <is>
          <t>Finishing</t>
        </is>
      </c>
      <c r="B24" t="inlineStr">
        <is>
          <t>Neutral-cure silicone</t>
        </is>
      </c>
      <c r="C24" t="n">
        <v>3</v>
      </c>
      <c r="D24" t="inlineStr">
        <is>
          <t>tube</t>
        </is>
      </c>
      <c r="E24" s="3" t="n">
        <v>250</v>
      </c>
      <c r="F24" s="3" t="n">
        <v>450</v>
      </c>
      <c r="G24" s="4">
        <f>C24*E24</f>
        <v/>
      </c>
      <c r="H24" s="4">
        <f>C24*F24</f>
        <v/>
      </c>
      <c r="I24" t="inlineStr"/>
    </row>
    <row r="25">
      <c r="A25" t="inlineStr">
        <is>
          <t>Finishing</t>
        </is>
      </c>
      <c r="B25" t="inlineStr">
        <is>
          <t>Paint / wrap for the exposed corner pipe</t>
        </is>
      </c>
      <c r="C25" t="n">
        <v>1</v>
      </c>
      <c r="D25" t="inlineStr">
        <is>
          <t>lot</t>
        </is>
      </c>
      <c r="E25" s="3" t="n">
        <v>500</v>
      </c>
      <c r="F25" s="3" t="n">
        <v>1000</v>
      </c>
      <c r="G25" s="4">
        <f>C25*E25</f>
        <v/>
      </c>
      <c r="H25" s="4">
        <f>C25*F25</f>
        <v/>
      </c>
      <c r="I25" t="inlineStr"/>
    </row>
    <row r="26">
      <c r="A26" t="inlineStr">
        <is>
          <t>Hood</t>
        </is>
      </c>
      <c r="B26" t="inlineStr">
        <is>
          <t>Built-in telescopic range hood 60 cm, ducted</t>
        </is>
      </c>
      <c r="C26" t="n">
        <v>1</v>
      </c>
      <c r="D26" t="inlineStr">
        <is>
          <t>pc</t>
        </is>
      </c>
      <c r="E26" s="3" t="n">
        <v>8500</v>
      </c>
      <c r="F26" s="3" t="n">
        <v>18000</v>
      </c>
      <c r="G26" s="4">
        <f>C26*E26</f>
        <v/>
      </c>
      <c r="H26" s="4">
        <f>C26*F26</f>
        <v/>
      </c>
      <c r="I26" t="inlineStr">
        <is>
          <t>e.g. Elba ITH 602 ~8,490</t>
        </is>
      </c>
    </row>
    <row r="27">
      <c r="A27" t="inlineStr">
        <is>
          <t>Hood</t>
        </is>
      </c>
      <c r="B27" t="inlineStr">
        <is>
          <t>Flat duct 204x60 + 150 round adapter</t>
        </is>
      </c>
      <c r="C27" t="n">
        <v>1</v>
      </c>
      <c r="D27" t="inlineStr">
        <is>
          <t>set</t>
        </is>
      </c>
      <c r="E27" s="3" t="n">
        <v>1500</v>
      </c>
      <c r="F27" s="3" t="n">
        <v>3000</v>
      </c>
      <c r="G27" s="4">
        <f>C27*E27</f>
        <v/>
      </c>
      <c r="H27" s="4">
        <f>C27*F27</f>
        <v/>
      </c>
      <c r="I27" t="inlineStr"/>
    </row>
    <row r="28">
      <c r="A28" t="inlineStr">
        <is>
          <t>Gas</t>
        </is>
      </c>
      <c r="B28" t="inlineStr">
        <is>
          <t>LPG regulator + 1.5 m hose + clamps</t>
        </is>
      </c>
      <c r="C28" t="n">
        <v>1</v>
      </c>
      <c r="D28" t="inlineStr">
        <is>
          <t>set</t>
        </is>
      </c>
      <c r="E28" s="3" t="n">
        <v>800</v>
      </c>
      <c r="F28" s="3" t="n">
        <v>1500</v>
      </c>
      <c r="G28" s="4">
        <f>C28*E28</f>
        <v/>
      </c>
      <c r="H28" s="4">
        <f>C28*F28</f>
        <v/>
      </c>
      <c r="I28" t="inlineStr"/>
    </row>
    <row r="29">
      <c r="A29" t="inlineStr">
        <is>
          <t>Gas</t>
        </is>
      </c>
      <c r="B29" t="inlineStr">
        <is>
          <t>Vent grilles (tank door) + 50 mm hose grommet</t>
        </is>
      </c>
      <c r="C29" t="n">
        <v>1</v>
      </c>
      <c r="D29" t="inlineStr">
        <is>
          <t>set</t>
        </is>
      </c>
      <c r="E29" s="3" t="n">
        <v>350</v>
      </c>
      <c r="F29" s="3" t="n">
        <v>900</v>
      </c>
      <c r="G29" s="4">
        <f>C29*E29</f>
        <v/>
      </c>
      <c r="H29" s="4">
        <f>C29*F29</f>
        <v/>
      </c>
      <c r="I29" t="inlineStr">
        <is>
          <t>2 grilles + grommet</t>
        </is>
      </c>
    </row>
    <row r="30">
      <c r="A30" t="inlineStr">
        <is>
          <t>Gas</t>
        </is>
      </c>
      <c r="B30" t="inlineStr">
        <is>
          <t>Heat-shield sheet, aluminium-faced</t>
        </is>
      </c>
      <c r="C30" t="n">
        <v>1</v>
      </c>
      <c r="D30" t="inlineStr">
        <is>
          <t>pc</t>
        </is>
      </c>
      <c r="E30" s="3" t="n">
        <v>500</v>
      </c>
      <c r="F30" s="3" t="n">
        <v>1200</v>
      </c>
      <c r="G30" s="4">
        <f>C30*E30</f>
        <v/>
      </c>
      <c r="H30" s="4">
        <f>C30*F30</f>
        <v/>
      </c>
      <c r="I30" t="inlineStr"/>
    </row>
    <row r="31">
      <c r="A31" t="inlineStr">
        <is>
          <t>Appliance fit</t>
        </is>
      </c>
      <c r="B31" t="inlineStr">
        <is>
          <t>Vent grille behind induction front</t>
        </is>
      </c>
      <c r="C31" t="n">
        <v>1</v>
      </c>
      <c r="D31" t="inlineStr">
        <is>
          <t>pc</t>
        </is>
      </c>
      <c r="E31" s="3" t="n">
        <v>200</v>
      </c>
      <c r="F31" s="3" t="n">
        <v>500</v>
      </c>
      <c r="G31" s="4">
        <f>C31*E31</f>
        <v/>
      </c>
      <c r="H31" s="4">
        <f>C31*F31</f>
        <v/>
      </c>
      <c r="I31" t="inlineStr"/>
    </row>
    <row r="32">
      <c r="A32" t="inlineStr">
        <is>
          <t>Lighting</t>
        </is>
      </c>
      <c r="B32" t="inlineStr">
        <is>
          <t>24 V COB LED strip + aluminium profile + diffuser</t>
        </is>
      </c>
      <c r="C32" t="n">
        <v>6.9</v>
      </c>
      <c r="D32" t="inlineStr">
        <is>
          <t>m</t>
        </is>
      </c>
      <c r="E32" s="3" t="n">
        <v>400</v>
      </c>
      <c r="F32" s="3" t="n">
        <v>900</v>
      </c>
      <c r="G32" s="4">
        <f>C32*E32</f>
        <v/>
      </c>
      <c r="H32" s="4">
        <f>C32*F32</f>
        <v/>
      </c>
      <c r="I32" t="inlineStr">
        <is>
          <t>4 channels</t>
        </is>
      </c>
    </row>
    <row r="33">
      <c r="A33" t="inlineStr">
        <is>
          <t>Lighting</t>
        </is>
      </c>
      <c r="B33" t="inlineStr">
        <is>
          <t>24 V LED drivers (20 + 30 + 30 + 60 W)</t>
        </is>
      </c>
      <c r="C33" t="n">
        <v>4</v>
      </c>
      <c r="D33" t="inlineStr">
        <is>
          <t>pc</t>
        </is>
      </c>
      <c r="E33" s="3" t="n">
        <v>650</v>
      </c>
      <c r="F33" s="3" t="n">
        <v>1600</v>
      </c>
      <c r="G33" s="4">
        <f>C33*E33</f>
        <v/>
      </c>
      <c r="H33" s="4">
        <f>C33*F33</f>
        <v/>
      </c>
      <c r="I33" t="inlineStr"/>
    </row>
    <row r="34">
      <c r="A34" t="inlineStr">
        <is>
          <t>Lighting</t>
        </is>
      </c>
      <c r="B34" t="inlineStr">
        <is>
          <t>Wall switches (under-cabinet lights)</t>
        </is>
      </c>
      <c r="C34" t="n">
        <v>2</v>
      </c>
      <c r="D34" t="inlineStr">
        <is>
          <t>pc</t>
        </is>
      </c>
      <c r="E34" s="3" t="n">
        <v>250</v>
      </c>
      <c r="F34" s="3" t="n">
        <v>600</v>
      </c>
      <c r="G34" s="4">
        <f>C34*E34</f>
        <v/>
      </c>
      <c r="H34" s="4">
        <f>C34*F34</f>
        <v/>
      </c>
      <c r="I34" t="inlineStr"/>
    </row>
    <row r="35">
      <c r="A35" t="inlineStr">
        <is>
          <t>Lighting</t>
        </is>
      </c>
      <c r="B35" t="inlineStr">
        <is>
          <t>PIR motion sensors (toe-kick)</t>
        </is>
      </c>
      <c r="C35" t="n">
        <v>2</v>
      </c>
      <c r="D35" t="inlineStr">
        <is>
          <t>pc</t>
        </is>
      </c>
      <c r="E35" s="3" t="n">
        <v>400</v>
      </c>
      <c r="F35" s="3" t="n">
        <v>900</v>
      </c>
      <c r="G35" s="4">
        <f>C35*E35</f>
        <v/>
      </c>
      <c r="H35" s="4">
        <f>C35*F35</f>
        <v/>
      </c>
      <c r="I35" t="inlineStr"/>
    </row>
    <row r="36">
      <c r="A36" t="inlineStr">
        <is>
          <t>Lighting</t>
        </is>
      </c>
      <c r="B36" t="inlineStr">
        <is>
          <t>24 V cable 2 x 0.75 mm2</t>
        </is>
      </c>
      <c r="C36" t="n">
        <v>19.8</v>
      </c>
      <c r="D36" t="inlineStr">
        <is>
          <t>m</t>
        </is>
      </c>
      <c r="E36" s="3" t="n">
        <v>25</v>
      </c>
      <c r="F36" s="3" t="n">
        <v>50</v>
      </c>
      <c r="G36" s="4">
        <f>C36*E36</f>
        <v/>
      </c>
      <c r="H36" s="4">
        <f>C36*F36</f>
        <v/>
      </c>
      <c r="I36" t="inlineStr"/>
    </row>
    <row r="37">
      <c r="A37" t="inlineStr">
        <is>
          <t>Lighting</t>
        </is>
      </c>
      <c r="B37" t="inlineStr">
        <is>
          <t>230 V cable in conduit</t>
        </is>
      </c>
      <c r="C37" t="n">
        <v>11.1</v>
      </c>
      <c r="D37" t="inlineStr">
        <is>
          <t>m</t>
        </is>
      </c>
      <c r="E37" s="3" t="n">
        <v>40</v>
      </c>
      <c r="F37" s="3" t="n">
        <v>80</v>
      </c>
      <c r="G37" s="4">
        <f>C37*E37</f>
        <v/>
      </c>
      <c r="H37" s="4">
        <f>C37*F37</f>
        <v/>
      </c>
      <c r="I37" t="inlineStr"/>
    </row>
    <row r="38">
      <c r="A38" t="inlineStr">
        <is>
          <t>Lighting</t>
        </is>
      </c>
      <c r="B38" t="inlineStr">
        <is>
          <t>Cable grommets 10 mm</t>
        </is>
      </c>
      <c r="C38" t="n">
        <v>8</v>
      </c>
      <c r="D38" t="inlineStr">
        <is>
          <t>pc</t>
        </is>
      </c>
      <c r="E38" s="3" t="n">
        <v>15</v>
      </c>
      <c r="F38" s="3" t="n">
        <v>40</v>
      </c>
      <c r="G38" s="4">
        <f>C38*E38</f>
        <v/>
      </c>
      <c r="H38" s="4">
        <f>C38*F38</f>
        <v/>
      </c>
      <c r="I38" t="inlineStr"/>
    </row>
    <row r="39">
      <c r="A39" t="inlineStr">
        <is>
          <t>Electrical</t>
        </is>
      </c>
      <c r="B39" t="inlineStr">
        <is>
          <t>New outlets (2 doubles in the appliance garage, 1 backsplash)</t>
        </is>
      </c>
      <c r="C39" t="n">
        <v>3</v>
      </c>
      <c r="D39" t="inlineStr">
        <is>
          <t>pc</t>
        </is>
      </c>
      <c r="E39" s="3" t="n">
        <v>300</v>
      </c>
      <c r="F39" s="3" t="n">
        <v>700</v>
      </c>
      <c r="G39" s="4">
        <f>C39*E39</f>
        <v/>
      </c>
      <c r="H39" s="4">
        <f>C39*F39</f>
        <v/>
      </c>
      <c r="I39" t="inlineStr">
        <is>
          <t>devices + boxes only</t>
        </is>
      </c>
    </row>
    <row r="40">
      <c r="A40" t="inlineStr">
        <is>
          <t>Labour</t>
        </is>
      </c>
      <c r="B40" t="inlineStr">
        <is>
          <t>Carpentry: cutting, assembly, installation (2 carpenters ~15-20 days)</t>
        </is>
      </c>
      <c r="C40" t="n">
        <v>1</v>
      </c>
      <c r="D40" t="inlineStr">
        <is>
          <t>lot</t>
        </is>
      </c>
      <c r="E40" s="3" t="n">
        <v>30000</v>
      </c>
      <c r="F40" s="3" t="n">
        <v>60000</v>
      </c>
      <c r="G40" s="4">
        <f>C40*E40</f>
        <v/>
      </c>
      <c r="H40" s="4">
        <f>C40*F40</f>
        <v/>
      </c>
      <c r="I40" t="inlineStr">
        <is>
          <t>rule of thumb; ask your carpenter for a quote</t>
        </is>
      </c>
    </row>
    <row r="41">
      <c r="A41" t="inlineStr">
        <is>
          <t>Labour</t>
        </is>
      </c>
      <c r="B41" t="inlineStr">
        <is>
          <t>Electrician: new circuits, outlets, lighting, island conduit</t>
        </is>
      </c>
      <c r="C41" t="n">
        <v>1</v>
      </c>
      <c r="D41" t="inlineStr">
        <is>
          <t>lot</t>
        </is>
      </c>
      <c r="E41" s="3" t="n">
        <v>8000</v>
      </c>
      <c r="F41" s="3" t="n">
        <v>20000</v>
      </c>
      <c r="G41" s="4">
        <f>C41*E41</f>
        <v/>
      </c>
      <c r="H41" s="4">
        <f>C41*F41</f>
        <v/>
      </c>
      <c r="I41" t="inlineStr"/>
    </row>
    <row r="43">
      <c r="B43" s="2" t="inlineStr">
        <is>
          <t>Materials + hardware</t>
        </is>
      </c>
      <c r="G43" s="5">
        <f>SUM(G5:G39)</f>
        <v/>
      </c>
      <c r="H43" s="5">
        <f>SUM(H5:H39)</f>
        <v/>
      </c>
    </row>
    <row r="44">
      <c r="B44" s="2" t="inlineStr">
        <is>
          <t>Labour</t>
        </is>
      </c>
      <c r="G44" s="5">
        <f>SUM(G40:G41)</f>
        <v/>
      </c>
      <c r="H44" s="5">
        <f>SUM(H40:H41)</f>
        <v/>
      </c>
    </row>
    <row r="45">
      <c r="B45" s="2" t="inlineStr">
        <is>
          <t>Contingency 10%</t>
        </is>
      </c>
      <c r="G45" s="5">
        <f>ROUND(0.1*(G43+G44),-2)</f>
        <v/>
      </c>
      <c r="H45" s="5">
        <f>ROUND(0.1*(H43+H44),-2)</f>
        <v/>
      </c>
    </row>
    <row r="46">
      <c r="B46" s="6" t="inlineStr">
        <is>
          <t>TOTAL</t>
        </is>
      </c>
      <c r="G46" s="5">
        <f>SUM(G43:G45)</f>
        <v/>
      </c>
      <c r="H46" s="5">
        <f>SUM(H43:H45)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2026-10-24T11:05:00Z</dcterms:created>
  <dcterms:modified xsi:type="dcterms:W3CDTF">2026-10-24T11:05:00Z</dcterms:modified>
</cp:coreProperties>
</file>