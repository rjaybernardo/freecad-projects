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aterials" sheetId="2" state="visible" r:id="rId4"/>
    <sheet name="Cut List" sheetId="3" state="visible" r:id="rId5"/>
    <sheet name="Bar Plan" sheetId="4" state="visible" r:id="rId6"/>
    <sheet name="Cladding Layout" sheetId="5" state="visible" r:id="rId7"/>
  </sheets>
  <definedNames>
    <definedName function="false" hidden="true" localSheetId="2" name="_xlnm._FilterDatabase" vbProcedure="false">'Cut List'!$A$4:$K$302</definedName>
    <definedName function="false" hidden="true" localSheetId="1" name="_xlnm._FilterDatabase" vbProcedure="false">Materials!$A$4:$H$50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<sst xmlns="http://schemas.openxmlformats.org/spreadsheetml/2006/main" count="2064" uniqueCount="387">
  <si>
    <t xml:space="preserve">Aluminium kitchen - cut list &amp; materials summary</t>
  </si>
  <si>
    <t xml:space="preserve">Basic materials: 2x1 tube, 4 mm cladding, profile, profile with handle. Blue = from the cutting plan (re-run make_kitchen_alu_cutlist.py after model changes).</t>
  </si>
  <si>
    <t xml:space="preserve">Item</t>
  </si>
  <si>
    <t xml:space="preserve">Value</t>
  </si>
  <si>
    <t xml:space="preserve">Unit</t>
  </si>
  <si>
    <t xml:space="preserve">Basis</t>
  </si>
  <si>
    <t xml:space="preserve">2x1 pieces</t>
  </si>
  <si>
    <t xml:space="preserve">pcs</t>
  </si>
  <si>
    <t xml:space="preserve">Cut List</t>
  </si>
  <si>
    <t xml:space="preserve">2x1 total length</t>
  </si>
  <si>
    <t xml:space="preserve">m</t>
  </si>
  <si>
    <t xml:space="preserve">2x1 stock bars</t>
  </si>
  <si>
    <t xml:space="preserve">bars</t>
  </si>
  <si>
    <t xml:space="preserve">Bar Plan (6.40 m bars)</t>
  </si>
  <si>
    <t xml:space="preserve">2x1 yield</t>
  </si>
  <si>
    <t xml:space="preserve">%</t>
  </si>
  <si>
    <t xml:space="preserve">cut length / stock length</t>
  </si>
  <si>
    <t xml:space="preserve">Profile pieces</t>
  </si>
  <si>
    <t xml:space="preserve">Profile total length</t>
  </si>
  <si>
    <t xml:space="preserve">Profile stock bars</t>
  </si>
  <si>
    <t xml:space="preserve">Profile yield</t>
  </si>
  <si>
    <t xml:space="preserve">Profile with handle pieces</t>
  </si>
  <si>
    <t xml:space="preserve">Profile with handle total length</t>
  </si>
  <si>
    <t xml:space="preserve">Profile with handle stock bars</t>
  </si>
  <si>
    <t xml:space="preserve">Profile with handle yield</t>
  </si>
  <si>
    <t xml:space="preserve">Cladding pieces</t>
  </si>
  <si>
    <t xml:space="preserve">Cladding part area</t>
  </si>
  <si>
    <t xml:space="preserve">m²</t>
  </si>
  <si>
    <t xml:space="preserve">Cladding sheets (4x8)</t>
  </si>
  <si>
    <t xml:space="preserve">sheets</t>
  </si>
  <si>
    <t xml:space="preserve">Cladding Layout / PDF</t>
  </si>
  <si>
    <t xml:space="preserve">Cladding yield</t>
  </si>
  <si>
    <t xml:space="preserve">part area / sheet area</t>
  </si>
  <si>
    <t xml:space="preserve">Countertop pieces</t>
  </si>
  <si>
    <t xml:space="preserve">fabricator templates</t>
  </si>
  <si>
    <t xml:space="preserve">List of materials - aluminium</t>
  </si>
  <si>
    <t xml:space="preserve">Black qty = formula; blue = count from the model or a rule of thumb (see Basis). Fill unit prices in the yellow column; the total is at the bottom.</t>
  </si>
  <si>
    <t xml:space="preserve">Category</t>
  </si>
  <si>
    <t xml:space="preserve">Specification</t>
  </si>
  <si>
    <t xml:space="preserve">Qty</t>
  </si>
  <si>
    <t xml:space="preserve">Basis / note</t>
  </si>
  <si>
    <t xml:space="preserve">Unit price</t>
  </si>
  <si>
    <t xml:space="preserve">Amount</t>
  </si>
  <si>
    <t xml:space="preserve">Aluminium</t>
  </si>
  <si>
    <t xml:space="preserve">2x1</t>
  </si>
  <si>
    <t xml:space="preserve">1" x 2" aluminium tube (25.4 x 50.8), 6.40 m bars</t>
  </si>
  <si>
    <t xml:space="preserve">Bar Plan + 2 spare for mis-cuts; offcuts cover cleats</t>
  </si>
  <si>
    <t xml:space="preserve">Profile</t>
  </si>
  <si>
    <t xml:space="preserve">cabinet door / front frame profile (20 face x 20 deep, with insert groove), 6.40 m bars</t>
  </si>
  <si>
    <t xml:space="preserve">Bar Plan + 1 spare for mis-cuts; offcuts cover cleats</t>
  </si>
  <si>
    <t xml:space="preserve">Profile with handle</t>
  </si>
  <si>
    <t xml:space="preserve">profile with integrated handle (45 face), 6.40 m bars</t>
  </si>
  <si>
    <t xml:space="preserve">Cladding</t>
  </si>
  <si>
    <t xml:space="preserve">aluminium cladding sheet 4 mm, 4x8 ft</t>
  </si>
  <si>
    <t xml:space="preserve">Cladding Layout + 1 spare</t>
  </si>
  <si>
    <t xml:space="preserve">Countertop</t>
  </si>
  <si>
    <t xml:space="preserve">Countertop - Island</t>
  </si>
  <si>
    <t xml:space="preserve">1825 x 968 x 38, Countertop (cooktop cut-out 700x400)</t>
  </si>
  <si>
    <t xml:space="preserve">pc</t>
  </si>
  <si>
    <t xml:space="preserve">fabricator measures on site</t>
  </si>
  <si>
    <t xml:space="preserve">Countertop - Sink_Counter</t>
  </si>
  <si>
    <t xml:space="preserve">1270 x 635 x 38, Countertop (sink cut-out 770x420)</t>
  </si>
  <si>
    <t xml:space="preserve">Countertop - Washer_Bay</t>
  </si>
  <si>
    <t xml:space="preserve">678 x 635 x 38, Countertop (corner notch 153x153 for pipe)</t>
  </si>
  <si>
    <t xml:space="preserve">Fasteners</t>
  </si>
  <si>
    <t xml:space="preserve">Blind (pop) rivets 4 mm (5/32") x 12 - frame joints</t>
  </si>
  <si>
    <t xml:space="preserve">aluminium</t>
  </si>
  <si>
    <t xml:space="preserve">4 per 2x1 piece (2 per end)</t>
  </si>
  <si>
    <t xml:space="preserve">Rivets / self-drilling screws - cladding to frame</t>
  </si>
  <si>
    <t xml:space="preserve">every ~200 mm</t>
  </si>
  <si>
    <t xml:space="preserve">cladding edge length 257 m / 0.2</t>
  </si>
  <si>
    <t xml:space="preserve">Internal corner cleats (1" aluminium angle ~40 mm, or 2x1 offcuts)</t>
  </si>
  <si>
    <t xml:space="preserve">frame joints</t>
  </si>
  <si>
    <t xml:space="preserve">2 per 2x1 piece</t>
  </si>
  <si>
    <t xml:space="preserve">Panel adhesive / VHB tape for cladding (keeps panels flat)</t>
  </si>
  <si>
    <t xml:space="preserve">cladding edge length</t>
  </si>
  <si>
    <t xml:space="preserve">Wall mount</t>
  </si>
  <si>
    <t xml:space="preserve">Masonry anchors 8 mm through the 2x1 back rails</t>
  </si>
  <si>
    <t xml:space="preserve">5 wall cabinets x 4 + 5 base x 2 + 4 framed panels x 2</t>
  </si>
  <si>
    <t xml:space="preserve">Finishing</t>
  </si>
  <si>
    <t xml:space="preserve">Neutral-cure silicone, clear</t>
  </si>
  <si>
    <t xml:space="preserve">sink, counter joints, backsplash</t>
  </si>
  <si>
    <t xml:space="preserve">tubes</t>
  </si>
  <si>
    <t xml:space="preserve">rule of thumb</t>
  </si>
  <si>
    <t xml:space="preserve">Racks &amp; runners</t>
  </si>
  <si>
    <t xml:space="preserve">Toe-kick drawer runner pair 400 mm, low profile, push-to-open</t>
  </si>
  <si>
    <t xml:space="preserve">Base_Racks_400, Base_Sink_870, Island_1_Racks_473, Island_2_Induction_773, Island_3_Racks_473</t>
  </si>
  <si>
    <t xml:space="preserve">Under-sink pull-out tray (door-mounted cabinet)</t>
  </si>
  <si>
    <t xml:space="preserve">786 W x 450 D x 120 H</t>
  </si>
  <si>
    <t xml:space="preserve">Base_Sink_870</t>
  </si>
  <si>
    <t xml:space="preserve">Full-extension soft-close runner pair, 450 mm</t>
  </si>
  <si>
    <t xml:space="preserve">Pot / pan basket (350 cabinet size, 341 clear, 500 runners)</t>
  </si>
  <si>
    <t xml:space="preserve">316 W x 500 D x 200 H</t>
  </si>
  <si>
    <t xml:space="preserve">Base_Racks_400</t>
  </si>
  <si>
    <t xml:space="preserve">Full-extension soft-close runner pair, 500 mm</t>
  </si>
  <si>
    <t xml:space="preserve">Base_Racks_400, Island_1_Racks_473, Island_2_Induction_773, Island_3_Racks_473</t>
  </si>
  <si>
    <t xml:space="preserve">Bowl + plate basket (350 cabinet size, 341 clear, 500 runners)</t>
  </si>
  <si>
    <t xml:space="preserve">316 W x 500 D x 150 H</t>
  </si>
  <si>
    <t xml:space="preserve">Cutlery / utensil tray (350 cabinet size, 341 clear, 500 runners)</t>
  </si>
  <si>
    <t xml:space="preserve">316 W x 500 D x 70 H</t>
  </si>
  <si>
    <t xml:space="preserve">Fittings</t>
  </si>
  <si>
    <t xml:space="preserve">Stove levelling feet: raise ~9 mm so the cooktop meets the counter (platform 54.8)</t>
  </si>
  <si>
    <t xml:space="preserve">Stove_Bay</t>
  </si>
  <si>
    <t xml:space="preserve">Appliance fit</t>
  </si>
  <si>
    <t xml:space="preserve">Flat duct 204x60 + 150 round-to-flat adapter, up the cabinet back to the ceiling (cut-out in the cabinet top)</t>
  </si>
  <si>
    <t xml:space="preserve">Upper_Hood_620</t>
  </si>
  <si>
    <t xml:space="preserve">Built-in telescopic range hood 60 cm (body &lt;= 561 W), ducted, 150 outlet, fixed to the bottom side rails</t>
  </si>
  <si>
    <t xml:space="preserve">560 W x 280 D x 180 H</t>
  </si>
  <si>
    <t xml:space="preserve">Paint / wrap the exposed pipe (counter -&gt; wall cabinet) to match the backsplash</t>
  </si>
  <si>
    <t xml:space="preserve">458 H section</t>
  </si>
  <si>
    <t xml:space="preserve">lot</t>
  </si>
  <si>
    <t xml:space="preserve">Washer_Bay</t>
  </si>
  <si>
    <t xml:space="preserve">Dish drainer drip tray</t>
  </si>
  <si>
    <t xml:space="preserve">801 W x 245 D x 25 H</t>
  </si>
  <si>
    <t xml:space="preserve">Upper_Sink_870</t>
  </si>
  <si>
    <t xml:space="preserve">Dish drainer, plate tier (870 cabinet)</t>
  </si>
  <si>
    <t xml:space="preserve">801 W x 245 D x 120 H</t>
  </si>
  <si>
    <t xml:space="preserve">Dish drainer, cup / bowl tier (870 cabinet)</t>
  </si>
  <si>
    <t xml:space="preserve">801 W x 245 D x 80 H</t>
  </si>
  <si>
    <t xml:space="preserve">Pot / pan basket (450 cabinet size, 414 clear, 500 runners)</t>
  </si>
  <si>
    <t xml:space="preserve">389 W x 500 D x 200 H</t>
  </si>
  <si>
    <t xml:space="preserve">Island_1_Racks_473, Island_3_Racks_473</t>
  </si>
  <si>
    <t xml:space="preserve">Bowl + plate basket (450 cabinet size, 414 clear, 500 runners)</t>
  </si>
  <si>
    <t xml:space="preserve">389 W x 500 D x 150 H</t>
  </si>
  <si>
    <t xml:space="preserve">Cutlery / utensil tray (450 cabinet size, 414 clear, 500 runners)</t>
  </si>
  <si>
    <t xml:space="preserve">389 W x 500 D x 70 H</t>
  </si>
  <si>
    <t xml:space="preserve">Deep pot basket (750 cabinet size, 714 clear, 500 runners)</t>
  </si>
  <si>
    <t xml:space="preserve">689 W x 500 D x 250 H</t>
  </si>
  <si>
    <t xml:space="preserve">Island_2_Induction_773</t>
  </si>
  <si>
    <t xml:space="preserve">Pot / pan basket (750 cabinet size, 714 clear, 500 runners)</t>
  </si>
  <si>
    <t xml:space="preserve">689 W x 500 D x 200 H</t>
  </si>
  <si>
    <t xml:space="preserve">Vent grille / 6 mm gap behind the top fixed front (induction air)</t>
  </si>
  <si>
    <t xml:space="preserve">Electrical</t>
  </si>
  <si>
    <t xml:space="preserve">Induction power: dedicated circuit in floor conduit to the island</t>
  </si>
  <si>
    <t xml:space="preserve">Island</t>
  </si>
  <si>
    <t xml:space="preserve">Lighting</t>
  </si>
  <si>
    <t xml:space="preserve">Ch1 under-cabinet: 24 V COB LED strip 4000K 10 W/m + Al profile 16x7 with diffuser</t>
  </si>
  <si>
    <t xml:space="preserve">Lighting_LED</t>
  </si>
  <si>
    <t xml:space="preserve">Ch1 under-cabinet: 24 V LED driver 30 W</t>
  </si>
  <si>
    <t xml:space="preserve">Ch2 toe-kick wall run: 24 V COB LED strip 4000K 10 W/m + Al profile 16x7 with diffuser</t>
  </si>
  <si>
    <t xml:space="preserve">Ch2 toe-kick wall run: 24 V LED driver 20 W</t>
  </si>
  <si>
    <t xml:space="preserve">Ch3 toe-kick island: 24 V COB LED strip 4000K 10 W/m + Al profile 16x7 with diffuser</t>
  </si>
  <si>
    <t xml:space="preserve">Ch3 toe-kick island: 24 V LED driver 30 W</t>
  </si>
  <si>
    <t xml:space="preserve">Wall switch (backsplash) for the under-cabinet lights</t>
  </si>
  <si>
    <t xml:space="preserve">PIR motion sensor for 24 V strip (toe-kick)</t>
  </si>
  <si>
    <t xml:space="preserve">24 V cable 2 x 0.75 mm2 (+20% spare)</t>
  </si>
  <si>
    <t xml:space="preserve">230 V feed to drivers / switch (electrician, in conduit)</t>
  </si>
  <si>
    <t xml:space="preserve">Cable grommets 10 mm (cabinet top / bottom holes)</t>
  </si>
  <si>
    <t xml:space="preserve">Hinge for aluminium-frame doors, soft-close, clip-on</t>
  </si>
  <si>
    <t xml:space="preserve">Base_Sink_870, Over_Ref_Cabinet, Upper_400, Upper_Hood_620, Upper_Over_Washer, Upper_Sink_870</t>
  </si>
  <si>
    <t xml:space="preserve">Total</t>
  </si>
  <si>
    <t xml:space="preserve">Aluminium kitchen - Cut List (mm)</t>
  </si>
  <si>
    <t xml:space="preserve">Bars at cut length (mitred profiles: long point, see Note). Bar / sheet: T = 2x1, P = profile, H = profile with handle, C = cladding sheet. 'see model' = notch / cut-back shown in FreeCAD.</t>
  </si>
  <si>
    <t xml:space="preserve">Ref #</t>
  </si>
  <si>
    <t xml:space="preserve">Module</t>
  </si>
  <si>
    <t xml:space="preserve">Part</t>
  </si>
  <si>
    <t xml:space="preserve">Material</t>
  </si>
  <si>
    <t xml:space="preserve">Length</t>
  </si>
  <si>
    <t xml:space="preserve">Width</t>
  </si>
  <si>
    <t xml:space="preserve">Note</t>
  </si>
  <si>
    <t xml:space="preserve">Bar / sheet</t>
  </si>
  <si>
    <t xml:space="preserve">Total m</t>
  </si>
  <si>
    <t xml:space="preserve">Area m²</t>
  </si>
  <si>
    <t xml:space="preserve">Kick_Back</t>
  </si>
  <si>
    <t xml:space="preserve">T23</t>
  </si>
  <si>
    <t xml:space="preserve">Kick_Inner_Front</t>
  </si>
  <si>
    <t xml:space="preserve">T24</t>
  </si>
  <si>
    <t xml:space="preserve">Kick_Side</t>
  </si>
  <si>
    <t xml:space="preserve">T20</t>
  </si>
  <si>
    <t xml:space="preserve">Plinth_Leg_Back</t>
  </si>
  <si>
    <t xml:space="preserve">T10, T6</t>
  </si>
  <si>
    <t xml:space="preserve">Plinth_Leg_Front</t>
  </si>
  <si>
    <t xml:space="preserve">T11, T21</t>
  </si>
  <si>
    <t xml:space="preserve">Plinth_Rail_Back</t>
  </si>
  <si>
    <t xml:space="preserve">T4</t>
  </si>
  <si>
    <t xml:space="preserve">Plinth_Rail_Side</t>
  </si>
  <si>
    <t xml:space="preserve">T15, T21</t>
  </si>
  <si>
    <t xml:space="preserve">Post_Back</t>
  </si>
  <si>
    <t xml:space="preserve">T9</t>
  </si>
  <si>
    <t xml:space="preserve">Post_Front</t>
  </si>
  <si>
    <t xml:space="preserve">Rail_Back_Bottom</t>
  </si>
  <si>
    <t xml:space="preserve">T21</t>
  </si>
  <si>
    <t xml:space="preserve">Rail_Back_Top</t>
  </si>
  <si>
    <t xml:space="preserve">Rail_Front_Bottom</t>
  </si>
  <si>
    <t xml:space="preserve">Rail_Front_Top</t>
  </si>
  <si>
    <t xml:space="preserve">Rail_Side_Bottom</t>
  </si>
  <si>
    <t xml:space="preserve">T17</t>
  </si>
  <si>
    <t xml:space="preserve">Rail_Side_Top</t>
  </si>
  <si>
    <t xml:space="preserve">Tier_Runner_Rail</t>
  </si>
  <si>
    <t xml:space="preserve">T12</t>
  </si>
  <si>
    <t xml:space="preserve">T22, T23</t>
  </si>
  <si>
    <t xml:space="preserve">T8</t>
  </si>
  <si>
    <t xml:space="preserve">T10</t>
  </si>
  <si>
    <t xml:space="preserve">T16</t>
  </si>
  <si>
    <t xml:space="preserve">Island_Back_Panel_Rail</t>
  </si>
  <si>
    <t xml:space="preserve">Island_Back_Panel_Stud</t>
  </si>
  <si>
    <t xml:space="preserve">T6</t>
  </si>
  <si>
    <t xml:space="preserve">Island_End_Panel_Rail</t>
  </si>
  <si>
    <t xml:space="preserve">T12, T15</t>
  </si>
  <si>
    <t xml:space="preserve">Island_End_Panel_Stud</t>
  </si>
  <si>
    <t xml:space="preserve">T7</t>
  </si>
  <si>
    <t xml:space="preserve">Island_1_Racks_473</t>
  </si>
  <si>
    <t xml:space="preserve">T22</t>
  </si>
  <si>
    <t xml:space="preserve">T13</t>
  </si>
  <si>
    <t xml:space="preserve">T19</t>
  </si>
  <si>
    <t xml:space="preserve">T17, T18</t>
  </si>
  <si>
    <t xml:space="preserve">T18</t>
  </si>
  <si>
    <t xml:space="preserve">T14</t>
  </si>
  <si>
    <t xml:space="preserve">T11</t>
  </si>
  <si>
    <t xml:space="preserve">Island_3_Racks_473</t>
  </si>
  <si>
    <t xml:space="preserve">T20, T21</t>
  </si>
  <si>
    <t xml:space="preserve">Over_Ref_Cabinet</t>
  </si>
  <si>
    <t xml:space="preserve">Pipe_Chase_Post</t>
  </si>
  <si>
    <t xml:space="preserve">cut back at pipe chase - see model</t>
  </si>
  <si>
    <t xml:space="preserve">T2</t>
  </si>
  <si>
    <t xml:space="preserve">T3</t>
  </si>
  <si>
    <t xml:space="preserve">Shelf_Front_Rail</t>
  </si>
  <si>
    <t xml:space="preserve">Shelf_Support</t>
  </si>
  <si>
    <t xml:space="preserve">T1</t>
  </si>
  <si>
    <t xml:space="preserve">Ref_Tower</t>
  </si>
  <si>
    <t xml:space="preserve">End_Panel_Ref_Rail</t>
  </si>
  <si>
    <t xml:space="preserve">End_Panel_Ref_Stud</t>
  </si>
  <si>
    <t xml:space="preserve">T1, T2</t>
  </si>
  <si>
    <t xml:space="preserve">Filler_Ref_Post</t>
  </si>
  <si>
    <t xml:space="preserve">Tall_Panel_Rail</t>
  </si>
  <si>
    <t xml:space="preserve">Tall_Panel_Stud</t>
  </si>
  <si>
    <t xml:space="preserve">T3, T4</t>
  </si>
  <si>
    <t xml:space="preserve">Scribe_Strips</t>
  </si>
  <si>
    <t xml:space="preserve">Crown_Ref_Ledger</t>
  </si>
  <si>
    <t xml:space="preserve">Crown_Uppers_Ledger</t>
  </si>
  <si>
    <t xml:space="preserve">Crown_Washer_Ledger</t>
  </si>
  <si>
    <t xml:space="preserve">Platform_Cross</t>
  </si>
  <si>
    <t xml:space="preserve">T15</t>
  </si>
  <si>
    <t xml:space="preserve">Platform_Rail_Back</t>
  </si>
  <si>
    <t xml:space="preserve">Platform_Rail_Front</t>
  </si>
  <si>
    <t xml:space="preserve">Upper_400</t>
  </si>
  <si>
    <t xml:space="preserve">T2, T3</t>
  </si>
  <si>
    <t xml:space="preserve">T14, T7</t>
  </si>
  <si>
    <t xml:space="preserve">T20, T24</t>
  </si>
  <si>
    <t xml:space="preserve">T16, T23</t>
  </si>
  <si>
    <t xml:space="preserve">Upper_Over_Washer</t>
  </si>
  <si>
    <t xml:space="preserve">T5</t>
  </si>
  <si>
    <t xml:space="preserve">T5, T6</t>
  </si>
  <si>
    <t xml:space="preserve">Back_Rail</t>
  </si>
  <si>
    <t xml:space="preserve">End_Panel_Rail</t>
  </si>
  <si>
    <t xml:space="preserve">T19, T21</t>
  </si>
  <si>
    <t xml:space="preserve">End_Panel_Stud</t>
  </si>
  <si>
    <t xml:space="preserve">Panel_Stove_Side_Rail</t>
  </si>
  <si>
    <t xml:space="preserve">T15, T16</t>
  </si>
  <si>
    <t xml:space="preserve">Panel_Stove_Side_Stud</t>
  </si>
  <si>
    <t xml:space="preserve">T7, T8</t>
  </si>
  <si>
    <t xml:space="preserve">Rail_Front</t>
  </si>
  <si>
    <t xml:space="preserve">DrawerFront_Rail_Bottom</t>
  </si>
  <si>
    <t xml:space="preserve">45 deg both ends</t>
  </si>
  <si>
    <t xml:space="preserve">P4, P5</t>
  </si>
  <si>
    <t xml:space="preserve">DrawerFront_Stile</t>
  </si>
  <si>
    <t xml:space="preserve">45 deg one end, square at the handle</t>
  </si>
  <si>
    <t xml:space="preserve">P6</t>
  </si>
  <si>
    <t xml:space="preserve">Kick_Front_Rail_Bottom</t>
  </si>
  <si>
    <t xml:space="preserve">P5</t>
  </si>
  <si>
    <t xml:space="preserve">Kick_Front_Rail_Top</t>
  </si>
  <si>
    <t xml:space="preserve">Kick_Front_Stile</t>
  </si>
  <si>
    <t xml:space="preserve">Door_Rail_Bottom</t>
  </si>
  <si>
    <t xml:space="preserve">Door_Stile</t>
  </si>
  <si>
    <t xml:space="preserve">P3</t>
  </si>
  <si>
    <t xml:space="preserve">P1</t>
  </si>
  <si>
    <t xml:space="preserve">P4</t>
  </si>
  <si>
    <t xml:space="preserve">P2, P3</t>
  </si>
  <si>
    <t xml:space="preserve">P1, P5, P6</t>
  </si>
  <si>
    <t xml:space="preserve">Door_Rail_Top</t>
  </si>
  <si>
    <t xml:space="preserve">P3, P4</t>
  </si>
  <si>
    <t xml:space="preserve">P1, P2</t>
  </si>
  <si>
    <t xml:space="preserve">P2</t>
  </si>
  <si>
    <t xml:space="preserve">DrawerFront_Handle_Rail</t>
  </si>
  <si>
    <t xml:space="preserve">square cut, full width</t>
  </si>
  <si>
    <t xml:space="preserve">H2</t>
  </si>
  <si>
    <t xml:space="preserve">Door_Handle_Rail</t>
  </si>
  <si>
    <t xml:space="preserve">H1</t>
  </si>
  <si>
    <t xml:space="preserve">H1, H2</t>
  </si>
  <si>
    <t xml:space="preserve">Back_Clad</t>
  </si>
  <si>
    <t xml:space="preserve">C9</t>
  </si>
  <si>
    <t xml:space="preserve">Bottom_Clad</t>
  </si>
  <si>
    <t xml:space="preserve">C12</t>
  </si>
  <si>
    <t xml:space="preserve">DrawerFront_Insert</t>
  </si>
  <si>
    <t xml:space="preserve">in the profile groove</t>
  </si>
  <si>
    <t xml:space="preserve">C7</t>
  </si>
  <si>
    <t xml:space="preserve">C8</t>
  </si>
  <si>
    <t xml:space="preserve">C13</t>
  </si>
  <si>
    <t xml:space="preserve">Kick_Bottom_Clad</t>
  </si>
  <si>
    <t xml:space="preserve">Kick_Front_Insert</t>
  </si>
  <si>
    <t xml:space="preserve">C11</t>
  </si>
  <si>
    <t xml:space="preserve">Plinth_Back_Clad</t>
  </si>
  <si>
    <t xml:space="preserve">Plinth_Side_Clad</t>
  </si>
  <si>
    <t xml:space="preserve">Side_Clad</t>
  </si>
  <si>
    <t xml:space="preserve">Door_Insert</t>
  </si>
  <si>
    <t xml:space="preserve">C11, C2</t>
  </si>
  <si>
    <t xml:space="preserve">C2</t>
  </si>
  <si>
    <t xml:space="preserve">C3</t>
  </si>
  <si>
    <t xml:space="preserve">Island_Back_Panel_Clad</t>
  </si>
  <si>
    <t xml:space="preserve">C3, C4</t>
  </si>
  <si>
    <t xml:space="preserve">Island_End_Panel_Clad</t>
  </si>
  <si>
    <t xml:space="preserve">C7, C8</t>
  </si>
  <si>
    <t xml:space="preserve">C1</t>
  </si>
  <si>
    <t xml:space="preserve">C5, C7</t>
  </si>
  <si>
    <t xml:space="preserve">C10</t>
  </si>
  <si>
    <t xml:space="preserve">C5</t>
  </si>
  <si>
    <t xml:space="preserve">C4, C8</t>
  </si>
  <si>
    <t xml:space="preserve">C1, C5</t>
  </si>
  <si>
    <t xml:space="preserve">notched for pipe - see model</t>
  </si>
  <si>
    <t xml:space="preserve">Pipe_Chase_Front_Clad</t>
  </si>
  <si>
    <t xml:space="preserve">Pipe_Chase_Side_Clad</t>
  </si>
  <si>
    <t xml:space="preserve">Shelf</t>
  </si>
  <si>
    <t xml:space="preserve">C6</t>
  </si>
  <si>
    <t xml:space="preserve">Top_Clad</t>
  </si>
  <si>
    <t xml:space="preserve">End_Panel_Ref_Clad</t>
  </si>
  <si>
    <t xml:space="preserve">Filler_Ref_Clad</t>
  </si>
  <si>
    <t xml:space="preserve">Tall_Panel_Clad</t>
  </si>
  <si>
    <t xml:space="preserve">Crown_Ref_Clad</t>
  </si>
  <si>
    <t xml:space="preserve">Crown_Uppers_Clad</t>
  </si>
  <si>
    <t xml:space="preserve">Crown_Washer_Clad</t>
  </si>
  <si>
    <t xml:space="preserve">Platform_Top_Clad</t>
  </si>
  <si>
    <t xml:space="preserve">C4</t>
  </si>
  <si>
    <t xml:space="preserve">C13, C8</t>
  </si>
  <si>
    <t xml:space="preserve">C5, C6</t>
  </si>
  <si>
    <t xml:space="preserve">hood cut-out - see model</t>
  </si>
  <si>
    <t xml:space="preserve">C11, C12</t>
  </si>
  <si>
    <t xml:space="preserve">C11, C3</t>
  </si>
  <si>
    <t xml:space="preserve">duct cut-out - see model</t>
  </si>
  <si>
    <t xml:space="preserve">C12, C3</t>
  </si>
  <si>
    <t xml:space="preserve">C6, C7</t>
  </si>
  <si>
    <t xml:space="preserve">C1, C4</t>
  </si>
  <si>
    <t xml:space="preserve">End_Panel_Clad</t>
  </si>
  <si>
    <t xml:space="preserve">Panel_Stove_Side_Clad</t>
  </si>
  <si>
    <t xml:space="preserve">Countertop (cooktop cut-out 700x400)</t>
  </si>
  <si>
    <t xml:space="preserve">solid surface / granite / quartz</t>
  </si>
  <si>
    <t xml:space="preserve">Sink_Counter</t>
  </si>
  <si>
    <t xml:space="preserve">Countertop (sink cut-out 770x420)</t>
  </si>
  <si>
    <t xml:space="preserve">Countertop (corner notch 153x153 for pipe)</t>
  </si>
  <si>
    <t xml:space="preserve">Bar cutting plan - 2x1, profile, profile with handle</t>
  </si>
  <si>
    <t xml:space="preserve">First-fit decreasing. 10 mm squared off each bar end, 3 mm blade. Cuts as 'Ref #: length'. Keep offcuts &gt; 300 mm for corner cleats and repairs.</t>
  </si>
  <si>
    <t xml:space="preserve">Bar</t>
  </si>
  <si>
    <t xml:space="preserve">Stock mm</t>
  </si>
  <si>
    <t xml:space="preserve">Pieces</t>
  </si>
  <si>
    <t xml:space="preserve">Cuts (Ref #: length)</t>
  </si>
  <si>
    <t xml:space="preserve">Used mm</t>
  </si>
  <si>
    <t xml:space="preserve">Offcut mm</t>
  </si>
  <si>
    <t xml:space="preserve">99: 2286, 99: 2286, 103: 1038.8, 96: 760</t>
  </si>
  <si>
    <t xml:space="preserve">99: 2286, 100: 2286, 109: 906, 87: 891.2</t>
  </si>
  <si>
    <t xml:space="preserve">102: 2286, 102: 2286, 109: 906, 88: 891.2</t>
  </si>
  <si>
    <t xml:space="preserve">102: 2286, 104: 1919.4, 110: 906, 110: 906, 6: 341.2</t>
  </si>
  <si>
    <t xml:space="preserve">125: 906, 126: 906, 127: 906, 127: 906, 138: 906, 138: 906, 139: 906</t>
  </si>
  <si>
    <t xml:space="preserve">139: 906, 89: 891.2, 90: 891.2, 33: 876, 33: 876, 33: 876, 33: 876, 4: 100</t>
  </si>
  <si>
    <t xml:space="preserve">35: 876, 35: 876, 35: 876, 35: 876, 148: 876, 148: 876, 150: 876, 115: 204.4</t>
  </si>
  <si>
    <t xml:space="preserve">150: 876, 95: 840.4, 22: 811.2, 26: 811.2, 27: 811.2, 28: 811.2, 29: 811.2, 120: 561.2</t>
  </si>
  <si>
    <t xml:space="preserve">140: 811.2, 141: 811.2, 142: 811.2, 143: 811.2, 8: 772, 8: 772, 9: 772, 9: 772</t>
  </si>
  <si>
    <t xml:space="preserve">24: 772, 24: 772, 25: 772, 25: 772, 43: 772, 43: 772, 44: 772, 44: 772, 4: 100</t>
  </si>
  <si>
    <t xml:space="preserve">59: 772, 59: 772, 60: 772, 60: 772, 75: 772, 75: 772, 76: 772, 76: 772, 5: 100</t>
  </si>
  <si>
    <t xml:space="preserve">97: 760, 17: 735.4, 18: 735.4, 57: 714, 61: 714, 62: 714, 63: 714, 64: 714, 34: 541.8</t>
  </si>
  <si>
    <t xml:space="preserve">118: 664, 118: 664, 119: 664, 119: 664, 91: 658.4, 92: 658.4, 93: 658.4, 94: 658.4, 105: 648.6, 41: 414</t>
  </si>
  <si>
    <t xml:space="preserve">52: 638.2, 53: 638.2, 146: 619.2, 151: 619.2, 107: 609.6, 108: 609.6, 128: 589.8, 129: 589.8, 130: 589.8, 131: 589.8, 115: 204.4</t>
  </si>
  <si>
    <t xml:space="preserve">121: 561.2, 106: 558.8, 106: 558.8, 106: 558.8, 34: 541.8, 34: 541.8, 34: 541.8, 34: 541.8, 34: 541.8, 149: 508.4, 149: 508.4, 7: 368.4</t>
  </si>
  <si>
    <t xml:space="preserve">149: 508.4, 32: 505.1, 32: 505.1, 32: 505.1, 32: 505.1, 32: 505.1, 32: 505.1, 32: 505.1, 32: 505.1, 32: 505.1, 30: 488.4, 30: 488.4, 117: 306</t>
  </si>
  <si>
    <t xml:space="preserve">31: 488.4, 31: 488.4, 14: 484.4, 14: 484.4, 15: 484.4, 15: 484.4, 16: 484.4, 16: 484.4, 16: 484.4, 16: 484.4, 49: 484.4, 49: 484.4, 50: 484.4</t>
  </si>
  <si>
    <t xml:space="preserve">50: 484.4, 51: 484.4, 51: 484.4, 51: 484.4, 51: 484.4, 65: 484.4, 65: 484.4, 66: 484.4, 66: 484.4, 67: 484.4, 67: 484.4, 81: 484.4, 81: 484.4</t>
  </si>
  <si>
    <t xml:space="preserve">82: 484.4, 82: 484.4, 83: 484.4, 83: 484.4, 83: 484.4, 83: 484.4, 84: 449, 85: 449, 86: 449, 86: 449, 45: 414, 46: 414, 47: 414, 147: 384.4</t>
  </si>
  <si>
    <t xml:space="preserve">48: 414, 73: 414, 77: 414, 78: 414, 79: 414, 80: 414, 3: 400, 3: 400, 19: 400, 19: 400, 38: 400, 38: 400, 54: 400, 54: 400, 70: 400, 116: 204.4</t>
  </si>
  <si>
    <t xml:space="preserve">70: 400, 147: 384.4, 147: 384.4, 7: 368.4, 23: 368.4, 23: 368.4, 42: 368.4, 42: 368.4, 58: 368.4, 58: 368.4, 74: 368.4, 74: 368.4, 10: 341.2, 11: 341.2, 12: 341.2, 13: 341.2, 111: 341.2, 5: 100</t>
  </si>
  <si>
    <t xml:space="preserve">112: 341.2, 113: 341.2, 114: 341.2, 36: 338.2, 37: 338.2, 68: 338.2, 69: 338.2, 98: 315.8, 98: 315.8, 98: 315.8, 98: 315.8, 98: 315.8, 98: 315.8, 98: 315.8, 98: 315.8, 98: 315.8, 98: 315.8, 101: 315.8, 101: 315.8, 20: 100</t>
  </si>
  <si>
    <t xml:space="preserve">101: 315.8, 101: 315.8, 101: 315.8, 101: 315.8, 101: 315.8, 101: 315.8, 101: 315.8, 101: 315.8, 117: 306, 117: 306, 117: 306, 124: 306, 124: 306, 124: 306, 124: 306, 136: 306, 136: 306, 137: 306, 137: 306, 1: 265.4, 20: 100</t>
  </si>
  <si>
    <t xml:space="preserve">2: 265.4, 116: 204.4, 122: 204.4, 122: 204.4, 123: 204.4, 123: 204.4, 132: 204.4, 133: 204.4, 134: 204.4, 135: 204.4, 144: 204.4, 144: 204.4, 145: 204.4, 145: 204.4, 21: 100, 21: 100, 39: 100, 39: 100, 40: 100, 40: 100, 55: 100, 55: 100, 56: 100, 56: 100, 71: 100, 71: 100, 72: 100, 72: 100</t>
  </si>
  <si>
    <t xml:space="preserve">161: 867, 162: 867, 187: 866, 187: 866, 191: 866, 191: 866, 191: 866, 173: 280</t>
  </si>
  <si>
    <t xml:space="preserve">191: 866, 193: 866, 193: 866, 193: 866, 193: 866, 171: 769.8, 171: 769.8, 184: 472</t>
  </si>
  <si>
    <t xml:space="preserve">171: 769.8, 174: 769.8, 175: 769.8, 160: 728, 160: 728, 160: 728, 160: 728, 189: 624, 184: 472</t>
  </si>
  <si>
    <t xml:space="preserve">189: 624, 188: 617, 164: 469.8, 164: 469.8, 164: 469.8, 168: 469.8, 169: 469.8, 177: 469.8, 177: 469.8, 177: 469.8, 181: 469.8, 182: 469.8, 152: 397</t>
  </si>
  <si>
    <t xml:space="preserve">159: 432, 159: 432, 192: 432, 192: 432, 185: 409, 185: 409, 185: 409, 185: 409, 152: 397, 152: 397, 156: 397, 157: 397, 186: 397, 190: 321.3, 190: 321.3, 173: 280</t>
  </si>
  <si>
    <t xml:space="preserve">173: 280, 173: 280, 155: 262.4, 155: 262.4, 167: 262.4, 167: 262.4, 180: 262.4, 180: 262.4, 154: 223.6, 154: 223.6, 166: 223.6, 166: 223.6, 179: 223.6, 179: 223.6, 153: 146, 153: 146, 165: 146, 165: 146, 178: 146, 178: 146, 158: 87, 158: 87, 163: 87, 163: 87, 170: 87, 170: 87, 176: 87, 176: 87, 183: 87, 183: 87, 172: 72, 172: 72</t>
  </si>
  <si>
    <t xml:space="preserve">197: 769.8, 197: 769.8, 197: 769.8, 201: 617, 199: 472, 199: 472, 196: 469.8, 196: 469.8, 196: 469.8, 198: 469.8, 198: 469.8</t>
  </si>
  <si>
    <t xml:space="preserve">198: 469.8, 195: 432, 195: 432, 203: 432, 203: 432, 194: 397, 194: 397, 194: 397, 200: 397, 202: 321.3, 202: 321.3</t>
  </si>
  <si>
    <t xml:space="preserve">Cladding nesting on 4x8 sheets (x, y from the sheet corner, mm) - see kitchen_alu_cutting_diagram.pdf</t>
  </si>
  <si>
    <t xml:space="preserve">Sheet 2440 x 1220, 5 mm edge trim, 4 mm blade, guillotine cuts.</t>
  </si>
  <si>
    <t xml:space="preserve">Sheet</t>
  </si>
  <si>
    <t xml:space="preserve">X</t>
  </si>
  <si>
    <t xml:space="preserve">Y</t>
  </si>
  <si>
    <t xml:space="preserve">Along 2440</t>
  </si>
  <si>
    <t xml:space="preserve">Along 1220</t>
  </si>
  <si>
    <t xml:space="preserve">Rotated</t>
  </si>
  <si>
    <t xml:space="preserve">yes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</si>
</sst>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0"/>
    <numFmt numFmtId="167" formatCode="0.0%"/>
    <numFmt numFmtId="168" formatCode="#,##0.00"/>
    <numFmt numFmtId="169" formatCode="0.0"/>
    <numFmt numFmtId="170" formatCode="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SUMIFS('Cut List'!$E$5:$E$302,'Cut List'!$D$5:$D$302,"2x1")</f>
        <v>272</v>
      </c>
      <c r="C5" s="4" t="s">
        <v>7</v>
      </c>
      <c r="D5" s="4" t="s">
        <v>8</v>
      </c>
    </row>
    <row r="6" customFormat="false" ht="15" hidden="false" customHeight="false" outlineLevel="0" collapsed="false">
      <c r="A6" s="4" t="s">
        <v>9</v>
      </c>
      <c r="B6" s="6" t="n">
        <f aca="false">SUMIFS('Cut List'!$J$5:$J$302,'Cut List'!$D$5:$D$302,"2x1")</f>
        <v>149.6747</v>
      </c>
      <c r="C6" s="4" t="s">
        <v>10</v>
      </c>
      <c r="D6" s="4" t="s">
        <v>8</v>
      </c>
    </row>
    <row r="7" customFormat="false" ht="15" hidden="false" customHeight="false" outlineLevel="0" collapsed="false">
      <c r="A7" s="4" t="s">
        <v>11</v>
      </c>
      <c r="B7" s="7" t="n">
        <v>24</v>
      </c>
      <c r="C7" s="4" t="s">
        <v>12</v>
      </c>
      <c r="D7" s="4" t="s">
        <v>13</v>
      </c>
    </row>
    <row r="8" customFormat="false" ht="15" hidden="false" customHeight="false" outlineLevel="0" collapsed="false">
      <c r="A8" s="4" t="s">
        <v>14</v>
      </c>
      <c r="B8" s="8" t="n">
        <f aca="false">B6/(B7*6.4)</f>
        <v>0.974444661458333</v>
      </c>
      <c r="C8" s="4" t="s">
        <v>15</v>
      </c>
      <c r="D8" s="4" t="s">
        <v>16</v>
      </c>
    </row>
    <row r="9" customFormat="false" ht="15" hidden="false" customHeight="false" outlineLevel="0" collapsed="false">
      <c r="A9" s="4" t="s">
        <v>17</v>
      </c>
      <c r="B9" s="5" t="n">
        <f aca="false">SUMIFS('Cut List'!$E$5:$E$302,'Cut List'!$D$5:$D$302,"Profile")</f>
        <v>86</v>
      </c>
      <c r="C9" s="4" t="s">
        <v>7</v>
      </c>
      <c r="D9" s="4" t="s">
        <v>8</v>
      </c>
    </row>
    <row r="10" customFormat="false" ht="15" hidden="false" customHeight="false" outlineLevel="0" collapsed="false">
      <c r="A10" s="4" t="s">
        <v>18</v>
      </c>
      <c r="B10" s="6" t="n">
        <f aca="false">SUMIFS('Cut List'!$J$5:$J$302,'Cut List'!$D$5:$D$302,"Profile")</f>
        <v>36.9766</v>
      </c>
      <c r="C10" s="4" t="s">
        <v>10</v>
      </c>
      <c r="D10" s="4" t="s">
        <v>8</v>
      </c>
    </row>
    <row r="11" customFormat="false" ht="15" hidden="false" customHeight="false" outlineLevel="0" collapsed="false">
      <c r="A11" s="4" t="s">
        <v>19</v>
      </c>
      <c r="B11" s="7" t="n">
        <v>6</v>
      </c>
      <c r="C11" s="4" t="s">
        <v>12</v>
      </c>
      <c r="D11" s="4" t="s">
        <v>13</v>
      </c>
    </row>
    <row r="12" customFormat="false" ht="15" hidden="false" customHeight="false" outlineLevel="0" collapsed="false">
      <c r="A12" s="4" t="s">
        <v>20</v>
      </c>
      <c r="B12" s="8" t="n">
        <f aca="false">B10/(B11*6.4)</f>
        <v>0.962932291666667</v>
      </c>
      <c r="C12" s="4" t="s">
        <v>15</v>
      </c>
      <c r="D12" s="4" t="s">
        <v>16</v>
      </c>
    </row>
    <row r="13" customFormat="false" ht="15" hidden="false" customHeight="false" outlineLevel="0" collapsed="false">
      <c r="A13" s="4" t="s">
        <v>21</v>
      </c>
      <c r="B13" s="5" t="n">
        <f aca="false">SUMIFS('Cut List'!$E$5:$E$302,'Cut List'!$D$5:$D$302,"Profile with handle")</f>
        <v>22</v>
      </c>
      <c r="C13" s="4" t="s">
        <v>7</v>
      </c>
      <c r="D13" s="4" t="s">
        <v>8</v>
      </c>
    </row>
    <row r="14" customFormat="false" ht="15" hidden="false" customHeight="false" outlineLevel="0" collapsed="false">
      <c r="A14" s="4" t="s">
        <v>22</v>
      </c>
      <c r="B14" s="6" t="n">
        <f aca="false">SUMIFS('Cut List'!$J$5:$J$302,'Cut List'!$D$5:$D$302,"Profile with handle")</f>
        <v>10.6478</v>
      </c>
      <c r="C14" s="4" t="s">
        <v>10</v>
      </c>
      <c r="D14" s="4" t="s">
        <v>8</v>
      </c>
    </row>
    <row r="15" customFormat="false" ht="15" hidden="false" customHeight="false" outlineLevel="0" collapsed="false">
      <c r="A15" s="4" t="s">
        <v>23</v>
      </c>
      <c r="B15" s="7" t="n">
        <v>2</v>
      </c>
      <c r="C15" s="4" t="s">
        <v>12</v>
      </c>
      <c r="D15" s="4" t="s">
        <v>13</v>
      </c>
    </row>
    <row r="16" customFormat="false" ht="15" hidden="false" customHeight="false" outlineLevel="0" collapsed="false">
      <c r="A16" s="4" t="s">
        <v>24</v>
      </c>
      <c r="B16" s="8" t="n">
        <f aca="false">B14/(B15*6.4)</f>
        <v>0.831859375</v>
      </c>
      <c r="C16" s="4" t="s">
        <v>15</v>
      </c>
      <c r="D16" s="4" t="s">
        <v>16</v>
      </c>
    </row>
    <row r="17" customFormat="false" ht="15" hidden="false" customHeight="false" outlineLevel="0" collapsed="false">
      <c r="A17" s="4" t="s">
        <v>25</v>
      </c>
      <c r="B17" s="5" t="n">
        <f aca="false">SUMIFS('Cut List'!$E$5:$E$302,'Cut List'!$D$5:$D$302,"Cladding")</f>
        <v>117</v>
      </c>
      <c r="C17" s="4" t="s">
        <v>7</v>
      </c>
      <c r="D17" s="4" t="s">
        <v>8</v>
      </c>
    </row>
    <row r="18" customFormat="false" ht="15" hidden="false" customHeight="false" outlineLevel="0" collapsed="false">
      <c r="A18" s="4" t="s">
        <v>26</v>
      </c>
      <c r="B18" s="6" t="n">
        <f aca="false">SUMIFS('Cut List'!$K$5:$K$302,'Cut List'!$D$5:$D$302,"Cladding")</f>
        <v>34.56866968</v>
      </c>
      <c r="C18" s="4" t="s">
        <v>27</v>
      </c>
      <c r="D18" s="4" t="s">
        <v>8</v>
      </c>
    </row>
    <row r="19" customFormat="false" ht="15" hidden="false" customHeight="false" outlineLevel="0" collapsed="false">
      <c r="A19" s="4" t="s">
        <v>28</v>
      </c>
      <c r="B19" s="7" t="n">
        <v>13</v>
      </c>
      <c r="C19" s="4" t="s">
        <v>29</v>
      </c>
      <c r="D19" s="4" t="s">
        <v>30</v>
      </c>
    </row>
    <row r="20" customFormat="false" ht="15" hidden="false" customHeight="false" outlineLevel="0" collapsed="false">
      <c r="A20" s="4" t="s">
        <v>31</v>
      </c>
      <c r="B20" s="8" t="n">
        <f aca="false">B18/(B19*2.9768)</f>
        <v>0.893284210199905</v>
      </c>
      <c r="C20" s="4" t="s">
        <v>15</v>
      </c>
      <c r="D20" s="4" t="s">
        <v>32</v>
      </c>
    </row>
    <row r="21" customFormat="false" ht="15" hidden="false" customHeight="false" outlineLevel="0" collapsed="false">
      <c r="A21" s="4" t="s">
        <v>33</v>
      </c>
      <c r="B21" s="5" t="n">
        <f aca="false">SUMIFS('Cut List'!$E$5:$E$302,'Cut List'!$D$5:$D$302,"Countertop")</f>
        <v>3</v>
      </c>
      <c r="C21" s="4" t="s">
        <v>7</v>
      </c>
      <c r="D21" s="4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40"/>
    <col collapsed="false" customWidth="true" hidden="false" outlineLevel="0" max="5" min="4" style="0" width="8"/>
    <col collapsed="false" customWidth="true" hidden="false" outlineLevel="0" max="6" min="6" style="0" width="50"/>
    <col collapsed="false" customWidth="true" hidden="false" outlineLevel="0" max="7" min="7" style="0" width="11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35</v>
      </c>
    </row>
    <row r="2" customFormat="false" ht="15" hidden="false" customHeight="false" outlineLevel="0" collapsed="false">
      <c r="A2" s="2" t="s">
        <v>36</v>
      </c>
    </row>
    <row r="4" customFormat="false" ht="15" hidden="false" customHeight="false" outlineLevel="0" collapsed="false">
      <c r="A4" s="3" t="s">
        <v>37</v>
      </c>
      <c r="B4" s="3" t="s">
        <v>2</v>
      </c>
      <c r="C4" s="3" t="s">
        <v>38</v>
      </c>
      <c r="D4" s="3" t="s">
        <v>39</v>
      </c>
      <c r="E4" s="3" t="s">
        <v>4</v>
      </c>
      <c r="F4" s="3" t="s">
        <v>40</v>
      </c>
      <c r="G4" s="3" t="s">
        <v>41</v>
      </c>
      <c r="H4" s="3" t="s">
        <v>42</v>
      </c>
    </row>
    <row r="5" customFormat="false" ht="15" hidden="false" customHeight="false" outlineLevel="0" collapsed="false">
      <c r="A5" s="4" t="s">
        <v>43</v>
      </c>
      <c r="B5" s="9" t="s">
        <v>44</v>
      </c>
      <c r="C5" s="4" t="s">
        <v>45</v>
      </c>
      <c r="D5" s="5" t="n">
        <f aca="false">Summary!B7+2</f>
        <v>26</v>
      </c>
      <c r="E5" s="4" t="s">
        <v>12</v>
      </c>
      <c r="F5" s="9" t="s">
        <v>46</v>
      </c>
      <c r="G5" s="10"/>
      <c r="H5" s="11" t="n">
        <f aca="false">D5*G5</f>
        <v>0</v>
      </c>
    </row>
    <row r="6" customFormat="false" ht="15" hidden="false" customHeight="false" outlineLevel="0" collapsed="false">
      <c r="A6" s="4" t="s">
        <v>43</v>
      </c>
      <c r="B6" s="9" t="s">
        <v>47</v>
      </c>
      <c r="C6" s="4" t="s">
        <v>48</v>
      </c>
      <c r="D6" s="5" t="n">
        <f aca="false">Summary!B11+1</f>
        <v>7</v>
      </c>
      <c r="E6" s="4" t="s">
        <v>12</v>
      </c>
      <c r="F6" s="9" t="s">
        <v>49</v>
      </c>
      <c r="G6" s="10"/>
      <c r="H6" s="11" t="n">
        <f aca="false">D6*G6</f>
        <v>0</v>
      </c>
    </row>
    <row r="7" customFormat="false" ht="15" hidden="false" customHeight="false" outlineLevel="0" collapsed="false">
      <c r="A7" s="4" t="s">
        <v>43</v>
      </c>
      <c r="B7" s="9" t="s">
        <v>50</v>
      </c>
      <c r="C7" s="4" t="s">
        <v>51</v>
      </c>
      <c r="D7" s="5" t="n">
        <f aca="false">Summary!B15+1</f>
        <v>3</v>
      </c>
      <c r="E7" s="4" t="s">
        <v>12</v>
      </c>
      <c r="F7" s="9" t="s">
        <v>49</v>
      </c>
      <c r="G7" s="10"/>
      <c r="H7" s="11" t="n">
        <f aca="false">D7*G7</f>
        <v>0</v>
      </c>
    </row>
    <row r="8" customFormat="false" ht="15" hidden="false" customHeight="false" outlineLevel="0" collapsed="false">
      <c r="A8" s="4" t="s">
        <v>43</v>
      </c>
      <c r="B8" s="9" t="s">
        <v>52</v>
      </c>
      <c r="C8" s="4" t="s">
        <v>53</v>
      </c>
      <c r="D8" s="5" t="n">
        <f aca="false">Summary!B19+1</f>
        <v>14</v>
      </c>
      <c r="E8" s="4" t="s">
        <v>29</v>
      </c>
      <c r="F8" s="9" t="s">
        <v>54</v>
      </c>
      <c r="G8" s="10"/>
      <c r="H8" s="11" t="n">
        <f aca="false">D8*G8</f>
        <v>0</v>
      </c>
    </row>
    <row r="9" customFormat="false" ht="15" hidden="false" customHeight="false" outlineLevel="0" collapsed="false">
      <c r="A9" s="4" t="s">
        <v>55</v>
      </c>
      <c r="B9" s="9" t="s">
        <v>56</v>
      </c>
      <c r="C9" s="4" t="s">
        <v>57</v>
      </c>
      <c r="D9" s="7" t="n">
        <v>1</v>
      </c>
      <c r="E9" s="4" t="s">
        <v>58</v>
      </c>
      <c r="F9" s="9" t="s">
        <v>59</v>
      </c>
      <c r="G9" s="10"/>
      <c r="H9" s="11" t="n">
        <f aca="false">D9*G9</f>
        <v>0</v>
      </c>
    </row>
    <row r="10" customFormat="false" ht="15" hidden="false" customHeight="false" outlineLevel="0" collapsed="false">
      <c r="A10" s="4" t="s">
        <v>55</v>
      </c>
      <c r="B10" s="9" t="s">
        <v>60</v>
      </c>
      <c r="C10" s="4" t="s">
        <v>61</v>
      </c>
      <c r="D10" s="7" t="n">
        <v>1</v>
      </c>
      <c r="E10" s="4" t="s">
        <v>58</v>
      </c>
      <c r="F10" s="9" t="s">
        <v>59</v>
      </c>
      <c r="G10" s="10"/>
      <c r="H10" s="11" t="n">
        <f aca="false">D10*G10</f>
        <v>0</v>
      </c>
    </row>
    <row r="11" customFormat="false" ht="15" hidden="false" customHeight="false" outlineLevel="0" collapsed="false">
      <c r="A11" s="4" t="s">
        <v>55</v>
      </c>
      <c r="B11" s="9" t="s">
        <v>62</v>
      </c>
      <c r="C11" s="4" t="s">
        <v>63</v>
      </c>
      <c r="D11" s="7" t="n">
        <v>1</v>
      </c>
      <c r="E11" s="4" t="s">
        <v>58</v>
      </c>
      <c r="F11" s="9" t="s">
        <v>59</v>
      </c>
      <c r="G11" s="10"/>
      <c r="H11" s="11" t="n">
        <f aca="false">D11*G11</f>
        <v>0</v>
      </c>
    </row>
    <row r="12" customFormat="false" ht="15" hidden="false" customHeight="false" outlineLevel="0" collapsed="false">
      <c r="A12" s="4" t="s">
        <v>64</v>
      </c>
      <c r="B12" s="9" t="s">
        <v>65</v>
      </c>
      <c r="C12" s="4" t="s">
        <v>66</v>
      </c>
      <c r="D12" s="5" t="n">
        <f aca="false">CEILING(4*Summary!B5,100)</f>
        <v>1100</v>
      </c>
      <c r="E12" s="4" t="s">
        <v>7</v>
      </c>
      <c r="F12" s="9" t="s">
        <v>67</v>
      </c>
      <c r="G12" s="10"/>
      <c r="H12" s="11" t="n">
        <f aca="false">D12*G12</f>
        <v>0</v>
      </c>
    </row>
    <row r="13" customFormat="false" ht="15" hidden="false" customHeight="false" outlineLevel="0" collapsed="false">
      <c r="A13" s="4" t="s">
        <v>64</v>
      </c>
      <c r="B13" s="9" t="s">
        <v>68</v>
      </c>
      <c r="C13" s="4" t="s">
        <v>69</v>
      </c>
      <c r="D13" s="7" t="n">
        <v>1300</v>
      </c>
      <c r="E13" s="4" t="s">
        <v>7</v>
      </c>
      <c r="F13" s="9" t="s">
        <v>70</v>
      </c>
      <c r="G13" s="10"/>
      <c r="H13" s="11" t="n">
        <f aca="false">D13*G13</f>
        <v>0</v>
      </c>
    </row>
    <row r="14" customFormat="false" ht="26.85" hidden="false" customHeight="false" outlineLevel="0" collapsed="false">
      <c r="A14" s="4" t="s">
        <v>64</v>
      </c>
      <c r="B14" s="9" t="s">
        <v>71</v>
      </c>
      <c r="C14" s="4" t="s">
        <v>72</v>
      </c>
      <c r="D14" s="5" t="n">
        <f aca="false">CEILING(2*Summary!B5,10)</f>
        <v>550</v>
      </c>
      <c r="E14" s="4" t="s">
        <v>7</v>
      </c>
      <c r="F14" s="9" t="s">
        <v>73</v>
      </c>
      <c r="G14" s="10"/>
      <c r="H14" s="11" t="n">
        <f aca="false">D14*G14</f>
        <v>0</v>
      </c>
    </row>
    <row r="15" customFormat="false" ht="26.85" hidden="false" customHeight="false" outlineLevel="0" collapsed="false">
      <c r="A15" s="4" t="s">
        <v>64</v>
      </c>
      <c r="B15" s="9" t="s">
        <v>74</v>
      </c>
      <c r="C15" s="4"/>
      <c r="D15" s="7" t="n">
        <v>257</v>
      </c>
      <c r="E15" s="4" t="s">
        <v>10</v>
      </c>
      <c r="F15" s="9" t="s">
        <v>75</v>
      </c>
      <c r="G15" s="10"/>
      <c r="H15" s="11" t="n">
        <f aca="false">D15*G15</f>
        <v>0</v>
      </c>
    </row>
    <row r="16" customFormat="false" ht="15" hidden="false" customHeight="false" outlineLevel="0" collapsed="false">
      <c r="A16" s="4" t="s">
        <v>76</v>
      </c>
      <c r="B16" s="9" t="s">
        <v>77</v>
      </c>
      <c r="C16" s="4"/>
      <c r="D16" s="7" t="n">
        <v>38</v>
      </c>
      <c r="E16" s="4" t="s">
        <v>7</v>
      </c>
      <c r="F16" s="9" t="s">
        <v>78</v>
      </c>
      <c r="G16" s="10"/>
      <c r="H16" s="11" t="n">
        <f aca="false">D16*G16</f>
        <v>0</v>
      </c>
    </row>
    <row r="17" customFormat="false" ht="15" hidden="false" customHeight="false" outlineLevel="0" collapsed="false">
      <c r="A17" s="4" t="s">
        <v>79</v>
      </c>
      <c r="B17" s="9" t="s">
        <v>80</v>
      </c>
      <c r="C17" s="4" t="s">
        <v>81</v>
      </c>
      <c r="D17" s="7" t="n">
        <v>3</v>
      </c>
      <c r="E17" s="4" t="s">
        <v>82</v>
      </c>
      <c r="F17" s="9" t="s">
        <v>83</v>
      </c>
      <c r="G17" s="10"/>
      <c r="H17" s="11" t="n">
        <f aca="false">D17*G17</f>
        <v>0</v>
      </c>
    </row>
    <row r="18" customFormat="false" ht="26.85" hidden="false" customHeight="false" outlineLevel="0" collapsed="false">
      <c r="A18" s="4" t="s">
        <v>84</v>
      </c>
      <c r="B18" s="9" t="s">
        <v>85</v>
      </c>
      <c r="C18" s="4"/>
      <c r="D18" s="7" t="n">
        <v>5</v>
      </c>
      <c r="E18" s="4" t="s">
        <v>7</v>
      </c>
      <c r="F18" s="9" t="s">
        <v>86</v>
      </c>
      <c r="G18" s="10"/>
      <c r="H18" s="11" t="n">
        <f aca="false">D18*G18</f>
        <v>0</v>
      </c>
    </row>
    <row r="19" customFormat="false" ht="15" hidden="false" customHeight="false" outlineLevel="0" collapsed="false">
      <c r="A19" s="4" t="s">
        <v>84</v>
      </c>
      <c r="B19" s="9" t="s">
        <v>87</v>
      </c>
      <c r="C19" s="4" t="s">
        <v>88</v>
      </c>
      <c r="D19" s="7" t="n">
        <v>1</v>
      </c>
      <c r="E19" s="4" t="s">
        <v>7</v>
      </c>
      <c r="F19" s="9" t="s">
        <v>89</v>
      </c>
      <c r="G19" s="10"/>
      <c r="H19" s="11" t="n">
        <f aca="false">D19*G19</f>
        <v>0</v>
      </c>
    </row>
    <row r="20" customFormat="false" ht="15" hidden="false" customHeight="false" outlineLevel="0" collapsed="false">
      <c r="A20" s="4" t="s">
        <v>84</v>
      </c>
      <c r="B20" s="9" t="s">
        <v>90</v>
      </c>
      <c r="C20" s="4"/>
      <c r="D20" s="7" t="n">
        <v>1</v>
      </c>
      <c r="E20" s="4" t="s">
        <v>7</v>
      </c>
      <c r="F20" s="9" t="s">
        <v>89</v>
      </c>
      <c r="G20" s="10"/>
      <c r="H20" s="11" t="n">
        <f aca="false">D20*G20</f>
        <v>0</v>
      </c>
    </row>
    <row r="21" customFormat="false" ht="26.85" hidden="false" customHeight="false" outlineLevel="0" collapsed="false">
      <c r="A21" s="4" t="s">
        <v>84</v>
      </c>
      <c r="B21" s="9" t="s">
        <v>91</v>
      </c>
      <c r="C21" s="4" t="s">
        <v>92</v>
      </c>
      <c r="D21" s="7" t="n">
        <v>1</v>
      </c>
      <c r="E21" s="4" t="s">
        <v>7</v>
      </c>
      <c r="F21" s="9" t="s">
        <v>93</v>
      </c>
      <c r="G21" s="10"/>
      <c r="H21" s="11" t="n">
        <f aca="false">D21*G21</f>
        <v>0</v>
      </c>
    </row>
    <row r="22" customFormat="false" ht="26.85" hidden="false" customHeight="false" outlineLevel="0" collapsed="false">
      <c r="A22" s="4" t="s">
        <v>84</v>
      </c>
      <c r="B22" s="9" t="s">
        <v>94</v>
      </c>
      <c r="C22" s="4"/>
      <c r="D22" s="7" t="n">
        <v>11</v>
      </c>
      <c r="E22" s="4" t="s">
        <v>7</v>
      </c>
      <c r="F22" s="9" t="s">
        <v>95</v>
      </c>
      <c r="G22" s="10"/>
      <c r="H22" s="11" t="n">
        <f aca="false">D22*G22</f>
        <v>0</v>
      </c>
    </row>
    <row r="23" customFormat="false" ht="26.85" hidden="false" customHeight="false" outlineLevel="0" collapsed="false">
      <c r="A23" s="4" t="s">
        <v>84</v>
      </c>
      <c r="B23" s="9" t="s">
        <v>96</v>
      </c>
      <c r="C23" s="4" t="s">
        <v>97</v>
      </c>
      <c r="D23" s="7" t="n">
        <v>1</v>
      </c>
      <c r="E23" s="4" t="s">
        <v>7</v>
      </c>
      <c r="F23" s="9" t="s">
        <v>93</v>
      </c>
      <c r="G23" s="10"/>
      <c r="H23" s="11" t="n">
        <f aca="false">D23*G23</f>
        <v>0</v>
      </c>
    </row>
    <row r="24" customFormat="false" ht="26.85" hidden="false" customHeight="false" outlineLevel="0" collapsed="false">
      <c r="A24" s="4" t="s">
        <v>84</v>
      </c>
      <c r="B24" s="9" t="s">
        <v>98</v>
      </c>
      <c r="C24" s="4" t="s">
        <v>99</v>
      </c>
      <c r="D24" s="7" t="n">
        <v>1</v>
      </c>
      <c r="E24" s="4" t="s">
        <v>7</v>
      </c>
      <c r="F24" s="9" t="s">
        <v>93</v>
      </c>
      <c r="G24" s="10"/>
      <c r="H24" s="11" t="n">
        <f aca="false">D24*G24</f>
        <v>0</v>
      </c>
    </row>
    <row r="25" customFormat="false" ht="26.85" hidden="false" customHeight="false" outlineLevel="0" collapsed="false">
      <c r="A25" s="4" t="s">
        <v>100</v>
      </c>
      <c r="B25" s="9" t="s">
        <v>101</v>
      </c>
      <c r="C25" s="4"/>
      <c r="D25" s="7" t="n">
        <v>1</v>
      </c>
      <c r="E25" s="4" t="s">
        <v>7</v>
      </c>
      <c r="F25" s="9" t="s">
        <v>102</v>
      </c>
      <c r="G25" s="10"/>
      <c r="H25" s="11" t="n">
        <f aca="false">D25*G25</f>
        <v>0</v>
      </c>
    </row>
    <row r="26" customFormat="false" ht="26.85" hidden="false" customHeight="false" outlineLevel="0" collapsed="false">
      <c r="A26" s="4" t="s">
        <v>103</v>
      </c>
      <c r="B26" s="9" t="s">
        <v>104</v>
      </c>
      <c r="C26" s="4"/>
      <c r="D26" s="7" t="n">
        <v>1</v>
      </c>
      <c r="E26" s="4" t="s">
        <v>7</v>
      </c>
      <c r="F26" s="9" t="s">
        <v>105</v>
      </c>
      <c r="G26" s="10"/>
      <c r="H26" s="11" t="n">
        <f aca="false">D26*G26</f>
        <v>0</v>
      </c>
    </row>
    <row r="27" customFormat="false" ht="26.85" hidden="false" customHeight="false" outlineLevel="0" collapsed="false">
      <c r="A27" s="4" t="s">
        <v>103</v>
      </c>
      <c r="B27" s="9" t="s">
        <v>106</v>
      </c>
      <c r="C27" s="4" t="s">
        <v>107</v>
      </c>
      <c r="D27" s="7" t="n">
        <v>1</v>
      </c>
      <c r="E27" s="4" t="s">
        <v>7</v>
      </c>
      <c r="F27" s="9" t="s">
        <v>105</v>
      </c>
      <c r="G27" s="10"/>
      <c r="H27" s="11" t="n">
        <f aca="false">D27*G27</f>
        <v>0</v>
      </c>
    </row>
    <row r="28" customFormat="false" ht="26.85" hidden="false" customHeight="false" outlineLevel="0" collapsed="false">
      <c r="A28" s="4" t="s">
        <v>79</v>
      </c>
      <c r="B28" s="9" t="s">
        <v>108</v>
      </c>
      <c r="C28" s="4" t="s">
        <v>109</v>
      </c>
      <c r="D28" s="7" t="n">
        <v>1</v>
      </c>
      <c r="E28" s="4" t="s">
        <v>110</v>
      </c>
      <c r="F28" s="9" t="s">
        <v>111</v>
      </c>
      <c r="G28" s="10"/>
      <c r="H28" s="11" t="n">
        <f aca="false">D28*G28</f>
        <v>0</v>
      </c>
    </row>
    <row r="29" customFormat="false" ht="15" hidden="false" customHeight="false" outlineLevel="0" collapsed="false">
      <c r="A29" s="4" t="s">
        <v>84</v>
      </c>
      <c r="B29" s="9" t="s">
        <v>112</v>
      </c>
      <c r="C29" s="4" t="s">
        <v>113</v>
      </c>
      <c r="D29" s="7" t="n">
        <v>1</v>
      </c>
      <c r="E29" s="4" t="s">
        <v>7</v>
      </c>
      <c r="F29" s="9" t="s">
        <v>114</v>
      </c>
      <c r="G29" s="10"/>
      <c r="H29" s="11" t="n">
        <f aca="false">D29*G29</f>
        <v>0</v>
      </c>
    </row>
    <row r="30" customFormat="false" ht="15" hidden="false" customHeight="false" outlineLevel="0" collapsed="false">
      <c r="A30" s="4" t="s">
        <v>84</v>
      </c>
      <c r="B30" s="9" t="s">
        <v>115</v>
      </c>
      <c r="C30" s="4" t="s">
        <v>116</v>
      </c>
      <c r="D30" s="7" t="n">
        <v>1</v>
      </c>
      <c r="E30" s="4" t="s">
        <v>7</v>
      </c>
      <c r="F30" s="9" t="s">
        <v>114</v>
      </c>
      <c r="G30" s="10"/>
      <c r="H30" s="11" t="n">
        <f aca="false">D30*G30</f>
        <v>0</v>
      </c>
    </row>
    <row r="31" customFormat="false" ht="15" hidden="false" customHeight="false" outlineLevel="0" collapsed="false">
      <c r="A31" s="4" t="s">
        <v>84</v>
      </c>
      <c r="B31" s="9" t="s">
        <v>117</v>
      </c>
      <c r="C31" s="4" t="s">
        <v>118</v>
      </c>
      <c r="D31" s="7" t="n">
        <v>1</v>
      </c>
      <c r="E31" s="4" t="s">
        <v>7</v>
      </c>
      <c r="F31" s="9" t="s">
        <v>114</v>
      </c>
      <c r="G31" s="10"/>
      <c r="H31" s="11" t="n">
        <f aca="false">D31*G31</f>
        <v>0</v>
      </c>
    </row>
    <row r="32" customFormat="false" ht="26.85" hidden="false" customHeight="false" outlineLevel="0" collapsed="false">
      <c r="A32" s="4" t="s">
        <v>84</v>
      </c>
      <c r="B32" s="9" t="s">
        <v>119</v>
      </c>
      <c r="C32" s="4" t="s">
        <v>120</v>
      </c>
      <c r="D32" s="7" t="n">
        <v>2</v>
      </c>
      <c r="E32" s="4" t="s">
        <v>7</v>
      </c>
      <c r="F32" s="9" t="s">
        <v>121</v>
      </c>
      <c r="G32" s="10"/>
      <c r="H32" s="11" t="n">
        <f aca="false">D32*G32</f>
        <v>0</v>
      </c>
    </row>
    <row r="33" customFormat="false" ht="26.85" hidden="false" customHeight="false" outlineLevel="0" collapsed="false">
      <c r="A33" s="4" t="s">
        <v>84</v>
      </c>
      <c r="B33" s="9" t="s">
        <v>122</v>
      </c>
      <c r="C33" s="4" t="s">
        <v>123</v>
      </c>
      <c r="D33" s="7" t="n">
        <v>2</v>
      </c>
      <c r="E33" s="4" t="s">
        <v>7</v>
      </c>
      <c r="F33" s="9" t="s">
        <v>121</v>
      </c>
      <c r="G33" s="10"/>
      <c r="H33" s="11" t="n">
        <f aca="false">D33*G33</f>
        <v>0</v>
      </c>
    </row>
    <row r="34" customFormat="false" ht="26.85" hidden="false" customHeight="false" outlineLevel="0" collapsed="false">
      <c r="A34" s="4" t="s">
        <v>84</v>
      </c>
      <c r="B34" s="9" t="s">
        <v>124</v>
      </c>
      <c r="C34" s="4" t="s">
        <v>125</v>
      </c>
      <c r="D34" s="7" t="n">
        <v>2</v>
      </c>
      <c r="E34" s="4" t="s">
        <v>7</v>
      </c>
      <c r="F34" s="9" t="s">
        <v>121</v>
      </c>
      <c r="G34" s="10"/>
      <c r="H34" s="11" t="n">
        <f aca="false">D34*G34</f>
        <v>0</v>
      </c>
    </row>
    <row r="35" customFormat="false" ht="26.85" hidden="false" customHeight="false" outlineLevel="0" collapsed="false">
      <c r="A35" s="4" t="s">
        <v>84</v>
      </c>
      <c r="B35" s="9" t="s">
        <v>126</v>
      </c>
      <c r="C35" s="4" t="s">
        <v>127</v>
      </c>
      <c r="D35" s="7" t="n">
        <v>1</v>
      </c>
      <c r="E35" s="4" t="s">
        <v>7</v>
      </c>
      <c r="F35" s="9" t="s">
        <v>128</v>
      </c>
      <c r="G35" s="10"/>
      <c r="H35" s="11" t="n">
        <f aca="false">D35*G35</f>
        <v>0</v>
      </c>
    </row>
    <row r="36" customFormat="false" ht="26.85" hidden="false" customHeight="false" outlineLevel="0" collapsed="false">
      <c r="A36" s="4" t="s">
        <v>84</v>
      </c>
      <c r="B36" s="9" t="s">
        <v>129</v>
      </c>
      <c r="C36" s="4" t="s">
        <v>130</v>
      </c>
      <c r="D36" s="7" t="n">
        <v>1</v>
      </c>
      <c r="E36" s="4" t="s">
        <v>7</v>
      </c>
      <c r="F36" s="9" t="s">
        <v>128</v>
      </c>
      <c r="G36" s="10"/>
      <c r="H36" s="11" t="n">
        <f aca="false">D36*G36</f>
        <v>0</v>
      </c>
    </row>
    <row r="37" customFormat="false" ht="26.85" hidden="false" customHeight="false" outlineLevel="0" collapsed="false">
      <c r="A37" s="4" t="s">
        <v>103</v>
      </c>
      <c r="B37" s="9" t="s">
        <v>131</v>
      </c>
      <c r="C37" s="4"/>
      <c r="D37" s="7" t="n">
        <v>1</v>
      </c>
      <c r="E37" s="4" t="s">
        <v>7</v>
      </c>
      <c r="F37" s="9" t="s">
        <v>128</v>
      </c>
      <c r="G37" s="10"/>
      <c r="H37" s="11" t="n">
        <f aca="false">D37*G37</f>
        <v>0</v>
      </c>
    </row>
    <row r="38" customFormat="false" ht="26.85" hidden="false" customHeight="false" outlineLevel="0" collapsed="false">
      <c r="A38" s="4" t="s">
        <v>132</v>
      </c>
      <c r="B38" s="9" t="s">
        <v>133</v>
      </c>
      <c r="C38" s="4"/>
      <c r="D38" s="7" t="n">
        <v>1</v>
      </c>
      <c r="E38" s="4" t="s">
        <v>7</v>
      </c>
      <c r="F38" s="9" t="s">
        <v>134</v>
      </c>
      <c r="G38" s="10"/>
      <c r="H38" s="11" t="n">
        <f aca="false">D38*G38</f>
        <v>0</v>
      </c>
    </row>
    <row r="39" customFormat="false" ht="26.85" hidden="false" customHeight="false" outlineLevel="0" collapsed="false">
      <c r="A39" s="4" t="s">
        <v>135</v>
      </c>
      <c r="B39" s="9" t="s">
        <v>136</v>
      </c>
      <c r="C39" s="4"/>
      <c r="D39" s="12" t="n">
        <v>1.71</v>
      </c>
      <c r="E39" s="4" t="s">
        <v>10</v>
      </c>
      <c r="F39" s="9" t="s">
        <v>137</v>
      </c>
      <c r="G39" s="10"/>
      <c r="H39" s="11" t="n">
        <f aca="false">D39*G39</f>
        <v>0</v>
      </c>
    </row>
    <row r="40" customFormat="false" ht="15" hidden="false" customHeight="false" outlineLevel="0" collapsed="false">
      <c r="A40" s="4" t="s">
        <v>135</v>
      </c>
      <c r="B40" s="9" t="s">
        <v>138</v>
      </c>
      <c r="C40" s="4"/>
      <c r="D40" s="7" t="n">
        <v>1</v>
      </c>
      <c r="E40" s="4" t="s">
        <v>7</v>
      </c>
      <c r="F40" s="9" t="s">
        <v>137</v>
      </c>
      <c r="G40" s="10"/>
      <c r="H40" s="11" t="n">
        <f aca="false">D40*G40</f>
        <v>0</v>
      </c>
    </row>
    <row r="41" customFormat="false" ht="26.85" hidden="false" customHeight="false" outlineLevel="0" collapsed="false">
      <c r="A41" s="4" t="s">
        <v>135</v>
      </c>
      <c r="B41" s="9" t="s">
        <v>139</v>
      </c>
      <c r="C41" s="4"/>
      <c r="D41" s="12" t="n">
        <v>1.26</v>
      </c>
      <c r="E41" s="4" t="s">
        <v>10</v>
      </c>
      <c r="F41" s="9" t="s">
        <v>137</v>
      </c>
      <c r="G41" s="10"/>
      <c r="H41" s="11" t="n">
        <f aca="false">D41*G41</f>
        <v>0</v>
      </c>
    </row>
    <row r="42" customFormat="false" ht="15" hidden="false" customHeight="false" outlineLevel="0" collapsed="false">
      <c r="A42" s="4" t="s">
        <v>135</v>
      </c>
      <c r="B42" s="9" t="s">
        <v>140</v>
      </c>
      <c r="C42" s="4"/>
      <c r="D42" s="7" t="n">
        <v>1</v>
      </c>
      <c r="E42" s="4" t="s">
        <v>7</v>
      </c>
      <c r="F42" s="9" t="s">
        <v>137</v>
      </c>
      <c r="G42" s="10"/>
      <c r="H42" s="11" t="n">
        <f aca="false">D42*G42</f>
        <v>0</v>
      </c>
    </row>
    <row r="43" customFormat="false" ht="26.85" hidden="false" customHeight="false" outlineLevel="0" collapsed="false">
      <c r="A43" s="4" t="s">
        <v>135</v>
      </c>
      <c r="B43" s="9" t="s">
        <v>141</v>
      </c>
      <c r="C43" s="4"/>
      <c r="D43" s="12" t="n">
        <v>1.71</v>
      </c>
      <c r="E43" s="4" t="s">
        <v>10</v>
      </c>
      <c r="F43" s="9" t="s">
        <v>137</v>
      </c>
      <c r="G43" s="10"/>
      <c r="H43" s="11" t="n">
        <f aca="false">D43*G43</f>
        <v>0</v>
      </c>
    </row>
    <row r="44" customFormat="false" ht="15" hidden="false" customHeight="false" outlineLevel="0" collapsed="false">
      <c r="A44" s="4" t="s">
        <v>135</v>
      </c>
      <c r="B44" s="9" t="s">
        <v>142</v>
      </c>
      <c r="C44" s="4"/>
      <c r="D44" s="7" t="n">
        <v>1</v>
      </c>
      <c r="E44" s="4" t="s">
        <v>7</v>
      </c>
      <c r="F44" s="9" t="s">
        <v>137</v>
      </c>
      <c r="G44" s="10"/>
      <c r="H44" s="11" t="n">
        <f aca="false">D44*G44</f>
        <v>0</v>
      </c>
    </row>
    <row r="45" customFormat="false" ht="15" hidden="false" customHeight="false" outlineLevel="0" collapsed="false">
      <c r="A45" s="4" t="s">
        <v>135</v>
      </c>
      <c r="B45" s="9" t="s">
        <v>143</v>
      </c>
      <c r="C45" s="4"/>
      <c r="D45" s="7" t="n">
        <v>1</v>
      </c>
      <c r="E45" s="4" t="s">
        <v>7</v>
      </c>
      <c r="F45" s="9" t="s">
        <v>137</v>
      </c>
      <c r="G45" s="10"/>
      <c r="H45" s="11" t="n">
        <f aca="false">D45*G45</f>
        <v>0</v>
      </c>
    </row>
    <row r="46" customFormat="false" ht="15" hidden="false" customHeight="false" outlineLevel="0" collapsed="false">
      <c r="A46" s="4" t="s">
        <v>135</v>
      </c>
      <c r="B46" s="9" t="s">
        <v>144</v>
      </c>
      <c r="C46" s="4"/>
      <c r="D46" s="7" t="n">
        <v>2</v>
      </c>
      <c r="E46" s="4" t="s">
        <v>7</v>
      </c>
      <c r="F46" s="9" t="s">
        <v>137</v>
      </c>
      <c r="G46" s="10"/>
      <c r="H46" s="11" t="n">
        <f aca="false">D46*G46</f>
        <v>0</v>
      </c>
    </row>
    <row r="47" customFormat="false" ht="15" hidden="false" customHeight="false" outlineLevel="0" collapsed="false">
      <c r="A47" s="4" t="s">
        <v>135</v>
      </c>
      <c r="B47" s="9" t="s">
        <v>145</v>
      </c>
      <c r="C47" s="4"/>
      <c r="D47" s="12" t="n">
        <v>9.1</v>
      </c>
      <c r="E47" s="4" t="s">
        <v>10</v>
      </c>
      <c r="F47" s="9" t="s">
        <v>137</v>
      </c>
      <c r="G47" s="10"/>
      <c r="H47" s="11" t="n">
        <f aca="false">D47*G47</f>
        <v>0</v>
      </c>
    </row>
    <row r="48" customFormat="false" ht="15" hidden="false" customHeight="false" outlineLevel="0" collapsed="false">
      <c r="A48" s="4" t="s">
        <v>135</v>
      </c>
      <c r="B48" s="9" t="s">
        <v>146</v>
      </c>
      <c r="C48" s="4"/>
      <c r="D48" s="12" t="n">
        <v>7.3</v>
      </c>
      <c r="E48" s="4" t="s">
        <v>10</v>
      </c>
      <c r="F48" s="9" t="s">
        <v>137</v>
      </c>
      <c r="G48" s="10"/>
      <c r="H48" s="11" t="n">
        <f aca="false">D48*G48</f>
        <v>0</v>
      </c>
    </row>
    <row r="49" customFormat="false" ht="15" hidden="false" customHeight="false" outlineLevel="0" collapsed="false">
      <c r="A49" s="4" t="s">
        <v>135</v>
      </c>
      <c r="B49" s="9" t="s">
        <v>147</v>
      </c>
      <c r="C49" s="4"/>
      <c r="D49" s="7" t="n">
        <v>8</v>
      </c>
      <c r="E49" s="4" t="s">
        <v>7</v>
      </c>
      <c r="F49" s="9" t="s">
        <v>137</v>
      </c>
      <c r="G49" s="10"/>
      <c r="H49" s="11" t="n">
        <f aca="false">D49*G49</f>
        <v>0</v>
      </c>
    </row>
    <row r="50" customFormat="false" ht="26.85" hidden="false" customHeight="false" outlineLevel="0" collapsed="false">
      <c r="A50" s="4" t="s">
        <v>100</v>
      </c>
      <c r="B50" s="9" t="s">
        <v>148</v>
      </c>
      <c r="C50" s="4"/>
      <c r="D50" s="7" t="n">
        <v>25</v>
      </c>
      <c r="E50" s="4" t="s">
        <v>7</v>
      </c>
      <c r="F50" s="9" t="s">
        <v>149</v>
      </c>
      <c r="G50" s="10"/>
      <c r="H50" s="11" t="n">
        <f aca="false">D50*G50</f>
        <v>0</v>
      </c>
    </row>
    <row r="51" customFormat="false" ht="15" hidden="false" customHeight="false" outlineLevel="0" collapsed="false">
      <c r="G51" s="13" t="s">
        <v>150</v>
      </c>
      <c r="H51" s="14" t="n">
        <f aca="false">SUM(H5:H50)</f>
        <v>0</v>
      </c>
    </row>
  </sheetData>
  <autoFilter ref="A4: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6"/>
    <col collapsed="false" customWidth="true" hidden="false" outlineLevel="0" max="7" min="6" style="0" width="9"/>
    <col collapsed="false" customWidth="true" hidden="false" outlineLevel="0" max="8" min="8" style="0" width="34"/>
    <col collapsed="false" customWidth="true" hidden="false" outlineLevel="0" max="9" min="9" style="0" width="16"/>
    <col collapsed="false" customWidth="true" hidden="false" outlineLevel="0" max="11" min="10" style="0" width="9"/>
  </cols>
  <sheetData>
    <row r="1" customFormat="false" ht="17.35" hidden="false" customHeight="false" outlineLevel="0" collapsed="false">
      <c r="A1" s="1" t="s">
        <v>151</v>
      </c>
    </row>
    <row r="2" customFormat="false" ht="15" hidden="false" customHeight="false" outlineLevel="0" collapsed="false">
      <c r="A2" s="2" t="s">
        <v>152</v>
      </c>
    </row>
    <row r="4" customFormat="false" ht="15" hidden="false" customHeight="false" outlineLevel="0" collapsed="false">
      <c r="A4" s="3" t="s">
        <v>153</v>
      </c>
      <c r="B4" s="3" t="s">
        <v>154</v>
      </c>
      <c r="C4" s="3" t="s">
        <v>155</v>
      </c>
      <c r="D4" s="3" t="s">
        <v>156</v>
      </c>
      <c r="E4" s="3" t="s">
        <v>39</v>
      </c>
      <c r="F4" s="3" t="s">
        <v>157</v>
      </c>
      <c r="G4" s="3" t="s">
        <v>158</v>
      </c>
      <c r="H4" s="3" t="s">
        <v>159</v>
      </c>
      <c r="I4" s="3" t="s">
        <v>160</v>
      </c>
      <c r="J4" s="3" t="s">
        <v>161</v>
      </c>
      <c r="K4" s="3" t="s">
        <v>162</v>
      </c>
    </row>
    <row r="5" customFormat="false" ht="15" hidden="false" customHeight="false" outlineLevel="0" collapsed="false">
      <c r="A5" s="4" t="n">
        <v>1</v>
      </c>
      <c r="B5" s="4" t="s">
        <v>93</v>
      </c>
      <c r="C5" s="4" t="s">
        <v>163</v>
      </c>
      <c r="D5" s="4" t="s">
        <v>44</v>
      </c>
      <c r="E5" s="4" t="n">
        <v>1</v>
      </c>
      <c r="F5" s="15" t="n">
        <v>265.4</v>
      </c>
      <c r="G5" s="15"/>
      <c r="H5" s="4"/>
      <c r="I5" s="4" t="s">
        <v>164</v>
      </c>
      <c r="J5" s="6" t="n">
        <f aca="false">E5*F5/1000</f>
        <v>0.2654</v>
      </c>
      <c r="K5" s="16"/>
    </row>
    <row r="6" customFormat="false" ht="15" hidden="false" customHeight="false" outlineLevel="0" collapsed="false">
      <c r="A6" s="4" t="n">
        <v>2</v>
      </c>
      <c r="B6" s="4" t="s">
        <v>93</v>
      </c>
      <c r="C6" s="4" t="s">
        <v>165</v>
      </c>
      <c r="D6" s="4" t="s">
        <v>44</v>
      </c>
      <c r="E6" s="4" t="n">
        <v>1</v>
      </c>
      <c r="F6" s="15" t="n">
        <v>265.4</v>
      </c>
      <c r="G6" s="15"/>
      <c r="H6" s="4"/>
      <c r="I6" s="4" t="s">
        <v>166</v>
      </c>
      <c r="J6" s="6" t="n">
        <f aca="false">E6*F6/1000</f>
        <v>0.2654</v>
      </c>
      <c r="K6" s="16"/>
    </row>
    <row r="7" customFormat="false" ht="15" hidden="false" customHeight="false" outlineLevel="0" collapsed="false">
      <c r="A7" s="4" t="n">
        <v>3</v>
      </c>
      <c r="B7" s="4" t="s">
        <v>93</v>
      </c>
      <c r="C7" s="4" t="s">
        <v>167</v>
      </c>
      <c r="D7" s="4" t="s">
        <v>44</v>
      </c>
      <c r="E7" s="4" t="n">
        <v>2</v>
      </c>
      <c r="F7" s="15" t="n">
        <v>400</v>
      </c>
      <c r="G7" s="15"/>
      <c r="H7" s="4"/>
      <c r="I7" s="4" t="s">
        <v>168</v>
      </c>
      <c r="J7" s="6" t="n">
        <f aca="false">E7*F7/1000</f>
        <v>0.8</v>
      </c>
      <c r="K7" s="16"/>
    </row>
    <row r="8" customFormat="false" ht="15" hidden="false" customHeight="false" outlineLevel="0" collapsed="false">
      <c r="A8" s="4" t="n">
        <v>4</v>
      </c>
      <c r="B8" s="4" t="s">
        <v>93</v>
      </c>
      <c r="C8" s="4" t="s">
        <v>169</v>
      </c>
      <c r="D8" s="4" t="s">
        <v>44</v>
      </c>
      <c r="E8" s="4" t="n">
        <v>2</v>
      </c>
      <c r="F8" s="15" t="n">
        <v>100</v>
      </c>
      <c r="G8" s="15"/>
      <c r="H8" s="4"/>
      <c r="I8" s="4" t="s">
        <v>170</v>
      </c>
      <c r="J8" s="6" t="n">
        <f aca="false">E8*F8/1000</f>
        <v>0.2</v>
      </c>
      <c r="K8" s="16"/>
    </row>
    <row r="9" customFormat="false" ht="15" hidden="false" customHeight="false" outlineLevel="0" collapsed="false">
      <c r="A9" s="4" t="n">
        <v>5</v>
      </c>
      <c r="B9" s="4" t="s">
        <v>93</v>
      </c>
      <c r="C9" s="4" t="s">
        <v>171</v>
      </c>
      <c r="D9" s="4" t="s">
        <v>44</v>
      </c>
      <c r="E9" s="4" t="n">
        <v>2</v>
      </c>
      <c r="F9" s="15" t="n">
        <v>100</v>
      </c>
      <c r="G9" s="15"/>
      <c r="H9" s="4"/>
      <c r="I9" s="4" t="s">
        <v>172</v>
      </c>
      <c r="J9" s="6" t="n">
        <f aca="false">E9*F9/1000</f>
        <v>0.2</v>
      </c>
      <c r="K9" s="16"/>
    </row>
    <row r="10" customFormat="false" ht="15" hidden="false" customHeight="false" outlineLevel="0" collapsed="false">
      <c r="A10" s="4" t="n">
        <v>6</v>
      </c>
      <c r="B10" s="4" t="s">
        <v>93</v>
      </c>
      <c r="C10" s="4" t="s">
        <v>173</v>
      </c>
      <c r="D10" s="4" t="s">
        <v>44</v>
      </c>
      <c r="E10" s="4" t="n">
        <v>1</v>
      </c>
      <c r="F10" s="15" t="n">
        <v>341.2</v>
      </c>
      <c r="G10" s="15"/>
      <c r="H10" s="4"/>
      <c r="I10" s="4" t="s">
        <v>174</v>
      </c>
      <c r="J10" s="6" t="n">
        <f aca="false">E10*F10/1000</f>
        <v>0.3412</v>
      </c>
      <c r="K10" s="16"/>
    </row>
    <row r="11" customFormat="false" ht="15" hidden="false" customHeight="false" outlineLevel="0" collapsed="false">
      <c r="A11" s="4" t="n">
        <v>7</v>
      </c>
      <c r="B11" s="4" t="s">
        <v>93</v>
      </c>
      <c r="C11" s="4" t="s">
        <v>175</v>
      </c>
      <c r="D11" s="4" t="s">
        <v>44</v>
      </c>
      <c r="E11" s="4" t="n">
        <v>2</v>
      </c>
      <c r="F11" s="15" t="n">
        <v>368.4</v>
      </c>
      <c r="G11" s="15"/>
      <c r="H11" s="4"/>
      <c r="I11" s="4" t="s">
        <v>176</v>
      </c>
      <c r="J11" s="6" t="n">
        <f aca="false">E11*F11/1000</f>
        <v>0.7368</v>
      </c>
      <c r="K11" s="16"/>
    </row>
    <row r="12" customFormat="false" ht="15" hidden="false" customHeight="false" outlineLevel="0" collapsed="false">
      <c r="A12" s="4" t="n">
        <v>8</v>
      </c>
      <c r="B12" s="4" t="s">
        <v>93</v>
      </c>
      <c r="C12" s="4" t="s">
        <v>177</v>
      </c>
      <c r="D12" s="4" t="s">
        <v>44</v>
      </c>
      <c r="E12" s="4" t="n">
        <v>2</v>
      </c>
      <c r="F12" s="15" t="n">
        <v>772</v>
      </c>
      <c r="G12" s="15"/>
      <c r="H12" s="4"/>
      <c r="I12" s="4" t="s">
        <v>178</v>
      </c>
      <c r="J12" s="6" t="n">
        <f aca="false">E12*F12/1000</f>
        <v>1.544</v>
      </c>
      <c r="K12" s="16"/>
    </row>
    <row r="13" customFormat="false" ht="15" hidden="false" customHeight="false" outlineLevel="0" collapsed="false">
      <c r="A13" s="4" t="n">
        <v>9</v>
      </c>
      <c r="B13" s="4" t="s">
        <v>93</v>
      </c>
      <c r="C13" s="4" t="s">
        <v>179</v>
      </c>
      <c r="D13" s="4" t="s">
        <v>44</v>
      </c>
      <c r="E13" s="4" t="n">
        <v>2</v>
      </c>
      <c r="F13" s="15" t="n">
        <v>772</v>
      </c>
      <c r="G13" s="15"/>
      <c r="H13" s="4"/>
      <c r="I13" s="4" t="s">
        <v>178</v>
      </c>
      <c r="J13" s="6" t="n">
        <f aca="false">E13*F13/1000</f>
        <v>1.544</v>
      </c>
      <c r="K13" s="16"/>
    </row>
    <row r="14" customFormat="false" ht="15" hidden="false" customHeight="false" outlineLevel="0" collapsed="false">
      <c r="A14" s="4" t="n">
        <v>10</v>
      </c>
      <c r="B14" s="4" t="s">
        <v>93</v>
      </c>
      <c r="C14" s="4" t="s">
        <v>180</v>
      </c>
      <c r="D14" s="4" t="s">
        <v>44</v>
      </c>
      <c r="E14" s="4" t="n">
        <v>1</v>
      </c>
      <c r="F14" s="15" t="n">
        <v>341.2</v>
      </c>
      <c r="G14" s="15"/>
      <c r="H14" s="4"/>
      <c r="I14" s="4" t="s">
        <v>181</v>
      </c>
      <c r="J14" s="6" t="n">
        <f aca="false">E14*F14/1000</f>
        <v>0.3412</v>
      </c>
      <c r="K14" s="16"/>
    </row>
    <row r="15" customFormat="false" ht="15" hidden="false" customHeight="false" outlineLevel="0" collapsed="false">
      <c r="A15" s="4" t="n">
        <v>11</v>
      </c>
      <c r="B15" s="4" t="s">
        <v>93</v>
      </c>
      <c r="C15" s="4" t="s">
        <v>182</v>
      </c>
      <c r="D15" s="4" t="s">
        <v>44</v>
      </c>
      <c r="E15" s="4" t="n">
        <v>1</v>
      </c>
      <c r="F15" s="15" t="n">
        <v>341.2</v>
      </c>
      <c r="G15" s="15"/>
      <c r="H15" s="4"/>
      <c r="I15" s="4" t="s">
        <v>181</v>
      </c>
      <c r="J15" s="6" t="n">
        <f aca="false">E15*F15/1000</f>
        <v>0.3412</v>
      </c>
      <c r="K15" s="16"/>
    </row>
    <row r="16" customFormat="false" ht="15" hidden="false" customHeight="false" outlineLevel="0" collapsed="false">
      <c r="A16" s="4" t="n">
        <v>12</v>
      </c>
      <c r="B16" s="4" t="s">
        <v>93</v>
      </c>
      <c r="C16" s="4" t="s">
        <v>183</v>
      </c>
      <c r="D16" s="4" t="s">
        <v>44</v>
      </c>
      <c r="E16" s="4" t="n">
        <v>1</v>
      </c>
      <c r="F16" s="15" t="n">
        <v>341.2</v>
      </c>
      <c r="G16" s="15"/>
      <c r="H16" s="4"/>
      <c r="I16" s="4" t="s">
        <v>181</v>
      </c>
      <c r="J16" s="6" t="n">
        <f aca="false">E16*F16/1000</f>
        <v>0.3412</v>
      </c>
      <c r="K16" s="16"/>
    </row>
    <row r="17" customFormat="false" ht="15" hidden="false" customHeight="false" outlineLevel="0" collapsed="false">
      <c r="A17" s="4" t="n">
        <v>13</v>
      </c>
      <c r="B17" s="4" t="s">
        <v>93</v>
      </c>
      <c r="C17" s="4" t="s">
        <v>184</v>
      </c>
      <c r="D17" s="4" t="s">
        <v>44</v>
      </c>
      <c r="E17" s="4" t="n">
        <v>1</v>
      </c>
      <c r="F17" s="15" t="n">
        <v>341.2</v>
      </c>
      <c r="G17" s="15"/>
      <c r="H17" s="4"/>
      <c r="I17" s="4" t="s">
        <v>181</v>
      </c>
      <c r="J17" s="6" t="n">
        <f aca="false">E17*F17/1000</f>
        <v>0.3412</v>
      </c>
      <c r="K17" s="16"/>
    </row>
    <row r="18" customFormat="false" ht="15" hidden="false" customHeight="false" outlineLevel="0" collapsed="false">
      <c r="A18" s="4" t="n">
        <v>14</v>
      </c>
      <c r="B18" s="4" t="s">
        <v>93</v>
      </c>
      <c r="C18" s="4" t="s">
        <v>185</v>
      </c>
      <c r="D18" s="4" t="s">
        <v>44</v>
      </c>
      <c r="E18" s="4" t="n">
        <v>2</v>
      </c>
      <c r="F18" s="15" t="n">
        <v>484.4</v>
      </c>
      <c r="G18" s="15"/>
      <c r="H18" s="4"/>
      <c r="I18" s="4" t="s">
        <v>186</v>
      </c>
      <c r="J18" s="6" t="n">
        <f aca="false">E18*F18/1000</f>
        <v>0.9688</v>
      </c>
      <c r="K18" s="16"/>
    </row>
    <row r="19" customFormat="false" ht="15" hidden="false" customHeight="false" outlineLevel="0" collapsed="false">
      <c r="A19" s="4" t="n">
        <v>15</v>
      </c>
      <c r="B19" s="4" t="s">
        <v>93</v>
      </c>
      <c r="C19" s="4" t="s">
        <v>187</v>
      </c>
      <c r="D19" s="4" t="s">
        <v>44</v>
      </c>
      <c r="E19" s="4" t="n">
        <v>2</v>
      </c>
      <c r="F19" s="15" t="n">
        <v>484.4</v>
      </c>
      <c r="G19" s="15"/>
      <c r="H19" s="4"/>
      <c r="I19" s="4" t="s">
        <v>186</v>
      </c>
      <c r="J19" s="6" t="n">
        <f aca="false">E19*F19/1000</f>
        <v>0.9688</v>
      </c>
      <c r="K19" s="16"/>
    </row>
    <row r="20" customFormat="false" ht="15" hidden="false" customHeight="false" outlineLevel="0" collapsed="false">
      <c r="A20" s="4" t="n">
        <v>16</v>
      </c>
      <c r="B20" s="4" t="s">
        <v>93</v>
      </c>
      <c r="C20" s="4" t="s">
        <v>188</v>
      </c>
      <c r="D20" s="4" t="s">
        <v>44</v>
      </c>
      <c r="E20" s="4" t="n">
        <v>4</v>
      </c>
      <c r="F20" s="15" t="n">
        <v>484.4</v>
      </c>
      <c r="G20" s="15"/>
      <c r="H20" s="4"/>
      <c r="I20" s="4" t="s">
        <v>186</v>
      </c>
      <c r="J20" s="6" t="n">
        <f aca="false">E20*F20/1000</f>
        <v>1.9376</v>
      </c>
      <c r="K20" s="16"/>
    </row>
    <row r="21" customFormat="false" ht="15" hidden="false" customHeight="false" outlineLevel="0" collapsed="false">
      <c r="A21" s="4" t="n">
        <v>17</v>
      </c>
      <c r="B21" s="4" t="s">
        <v>89</v>
      </c>
      <c r="C21" s="4" t="s">
        <v>163</v>
      </c>
      <c r="D21" s="4" t="s">
        <v>44</v>
      </c>
      <c r="E21" s="4" t="n">
        <v>1</v>
      </c>
      <c r="F21" s="15" t="n">
        <v>735.4</v>
      </c>
      <c r="G21" s="15"/>
      <c r="H21" s="4"/>
      <c r="I21" s="4" t="s">
        <v>189</v>
      </c>
      <c r="J21" s="6" t="n">
        <f aca="false">E21*F21/1000</f>
        <v>0.7354</v>
      </c>
      <c r="K21" s="16"/>
    </row>
    <row r="22" customFormat="false" ht="15" hidden="false" customHeight="false" outlineLevel="0" collapsed="false">
      <c r="A22" s="4" t="n">
        <v>18</v>
      </c>
      <c r="B22" s="4" t="s">
        <v>89</v>
      </c>
      <c r="C22" s="4" t="s">
        <v>165</v>
      </c>
      <c r="D22" s="4" t="s">
        <v>44</v>
      </c>
      <c r="E22" s="4" t="n">
        <v>1</v>
      </c>
      <c r="F22" s="15" t="n">
        <v>735.4</v>
      </c>
      <c r="G22" s="15"/>
      <c r="H22" s="4"/>
      <c r="I22" s="4" t="s">
        <v>189</v>
      </c>
      <c r="J22" s="6" t="n">
        <f aca="false">E22*F22/1000</f>
        <v>0.7354</v>
      </c>
      <c r="K22" s="16"/>
    </row>
    <row r="23" customFormat="false" ht="15" hidden="false" customHeight="false" outlineLevel="0" collapsed="false">
      <c r="A23" s="4" t="n">
        <v>19</v>
      </c>
      <c r="B23" s="4" t="s">
        <v>89</v>
      </c>
      <c r="C23" s="4" t="s">
        <v>167</v>
      </c>
      <c r="D23" s="4" t="s">
        <v>44</v>
      </c>
      <c r="E23" s="4" t="n">
        <v>2</v>
      </c>
      <c r="F23" s="15" t="n">
        <v>400</v>
      </c>
      <c r="G23" s="15"/>
      <c r="H23" s="4"/>
      <c r="I23" s="4" t="s">
        <v>168</v>
      </c>
      <c r="J23" s="6" t="n">
        <f aca="false">E23*F23/1000</f>
        <v>0.8</v>
      </c>
      <c r="K23" s="16"/>
    </row>
    <row r="24" customFormat="false" ht="15" hidden="false" customHeight="false" outlineLevel="0" collapsed="false">
      <c r="A24" s="4" t="n">
        <v>20</v>
      </c>
      <c r="B24" s="4" t="s">
        <v>89</v>
      </c>
      <c r="C24" s="4" t="s">
        <v>169</v>
      </c>
      <c r="D24" s="4" t="s">
        <v>44</v>
      </c>
      <c r="E24" s="4" t="n">
        <v>2</v>
      </c>
      <c r="F24" s="15" t="n">
        <v>100</v>
      </c>
      <c r="G24" s="15"/>
      <c r="H24" s="4"/>
      <c r="I24" s="4" t="s">
        <v>190</v>
      </c>
      <c r="J24" s="6" t="n">
        <f aca="false">E24*F24/1000</f>
        <v>0.2</v>
      </c>
      <c r="K24" s="16"/>
    </row>
    <row r="25" customFormat="false" ht="15" hidden="false" customHeight="false" outlineLevel="0" collapsed="false">
      <c r="A25" s="4" t="n">
        <v>21</v>
      </c>
      <c r="B25" s="4" t="s">
        <v>89</v>
      </c>
      <c r="C25" s="4" t="s">
        <v>171</v>
      </c>
      <c r="D25" s="4" t="s">
        <v>44</v>
      </c>
      <c r="E25" s="4" t="n">
        <v>2</v>
      </c>
      <c r="F25" s="15" t="n">
        <v>100</v>
      </c>
      <c r="G25" s="15"/>
      <c r="H25" s="4"/>
      <c r="I25" s="4" t="s">
        <v>166</v>
      </c>
      <c r="J25" s="6" t="n">
        <f aca="false">E25*F25/1000</f>
        <v>0.2</v>
      </c>
      <c r="K25" s="16"/>
    </row>
    <row r="26" customFormat="false" ht="15" hidden="false" customHeight="false" outlineLevel="0" collapsed="false">
      <c r="A26" s="4" t="n">
        <v>22</v>
      </c>
      <c r="B26" s="4" t="s">
        <v>89</v>
      </c>
      <c r="C26" s="4" t="s">
        <v>173</v>
      </c>
      <c r="D26" s="4" t="s">
        <v>44</v>
      </c>
      <c r="E26" s="4" t="n">
        <v>1</v>
      </c>
      <c r="F26" s="15" t="n">
        <v>811.2</v>
      </c>
      <c r="G26" s="15"/>
      <c r="H26" s="4"/>
      <c r="I26" s="4" t="s">
        <v>191</v>
      </c>
      <c r="J26" s="6" t="n">
        <f aca="false">E26*F26/1000</f>
        <v>0.8112</v>
      </c>
      <c r="K26" s="16"/>
    </row>
    <row r="27" customFormat="false" ht="15" hidden="false" customHeight="false" outlineLevel="0" collapsed="false">
      <c r="A27" s="4" t="n">
        <v>23</v>
      </c>
      <c r="B27" s="4" t="s">
        <v>89</v>
      </c>
      <c r="C27" s="4" t="s">
        <v>175</v>
      </c>
      <c r="D27" s="4" t="s">
        <v>44</v>
      </c>
      <c r="E27" s="4" t="n">
        <v>2</v>
      </c>
      <c r="F27" s="15" t="n">
        <v>368.4</v>
      </c>
      <c r="G27" s="15"/>
      <c r="H27" s="4"/>
      <c r="I27" s="4" t="s">
        <v>181</v>
      </c>
      <c r="J27" s="6" t="n">
        <f aca="false">E27*F27/1000</f>
        <v>0.7368</v>
      </c>
      <c r="K27" s="16"/>
    </row>
    <row r="28" customFormat="false" ht="15" hidden="false" customHeight="false" outlineLevel="0" collapsed="false">
      <c r="A28" s="4" t="n">
        <v>24</v>
      </c>
      <c r="B28" s="4" t="s">
        <v>89</v>
      </c>
      <c r="C28" s="4" t="s">
        <v>177</v>
      </c>
      <c r="D28" s="4" t="s">
        <v>44</v>
      </c>
      <c r="E28" s="4" t="n">
        <v>2</v>
      </c>
      <c r="F28" s="15" t="n">
        <v>772</v>
      </c>
      <c r="G28" s="15"/>
      <c r="H28" s="4"/>
      <c r="I28" s="4" t="s">
        <v>192</v>
      </c>
      <c r="J28" s="6" t="n">
        <f aca="false">E28*F28/1000</f>
        <v>1.544</v>
      </c>
      <c r="K28" s="16"/>
    </row>
    <row r="29" customFormat="false" ht="15" hidden="false" customHeight="false" outlineLevel="0" collapsed="false">
      <c r="A29" s="4" t="n">
        <v>25</v>
      </c>
      <c r="B29" s="4" t="s">
        <v>89</v>
      </c>
      <c r="C29" s="4" t="s">
        <v>179</v>
      </c>
      <c r="D29" s="4" t="s">
        <v>44</v>
      </c>
      <c r="E29" s="4" t="n">
        <v>2</v>
      </c>
      <c r="F29" s="15" t="n">
        <v>772</v>
      </c>
      <c r="G29" s="15"/>
      <c r="H29" s="4"/>
      <c r="I29" s="4" t="s">
        <v>192</v>
      </c>
      <c r="J29" s="6" t="n">
        <f aca="false">E29*F29/1000</f>
        <v>1.544</v>
      </c>
      <c r="K29" s="16"/>
    </row>
    <row r="30" customFormat="false" ht="15" hidden="false" customHeight="false" outlineLevel="0" collapsed="false">
      <c r="A30" s="4" t="n">
        <v>26</v>
      </c>
      <c r="B30" s="4" t="s">
        <v>89</v>
      </c>
      <c r="C30" s="4" t="s">
        <v>180</v>
      </c>
      <c r="D30" s="4" t="s">
        <v>44</v>
      </c>
      <c r="E30" s="4" t="n">
        <v>1</v>
      </c>
      <c r="F30" s="15" t="n">
        <v>811.2</v>
      </c>
      <c r="G30" s="15"/>
      <c r="H30" s="4"/>
      <c r="I30" s="4" t="s">
        <v>191</v>
      </c>
      <c r="J30" s="6" t="n">
        <f aca="false">E30*F30/1000</f>
        <v>0.8112</v>
      </c>
      <c r="K30" s="16"/>
    </row>
    <row r="31" customFormat="false" ht="15" hidden="false" customHeight="false" outlineLevel="0" collapsed="false">
      <c r="A31" s="4" t="n">
        <v>27</v>
      </c>
      <c r="B31" s="4" t="s">
        <v>89</v>
      </c>
      <c r="C31" s="4" t="s">
        <v>182</v>
      </c>
      <c r="D31" s="4" t="s">
        <v>44</v>
      </c>
      <c r="E31" s="4" t="n">
        <v>1</v>
      </c>
      <c r="F31" s="15" t="n">
        <v>811.2</v>
      </c>
      <c r="G31" s="15"/>
      <c r="H31" s="4"/>
      <c r="I31" s="4" t="s">
        <v>191</v>
      </c>
      <c r="J31" s="6" t="n">
        <f aca="false">E31*F31/1000</f>
        <v>0.8112</v>
      </c>
      <c r="K31" s="16"/>
    </row>
    <row r="32" customFormat="false" ht="15" hidden="false" customHeight="false" outlineLevel="0" collapsed="false">
      <c r="A32" s="4" t="n">
        <v>28</v>
      </c>
      <c r="B32" s="4" t="s">
        <v>89</v>
      </c>
      <c r="C32" s="4" t="s">
        <v>183</v>
      </c>
      <c r="D32" s="4" t="s">
        <v>44</v>
      </c>
      <c r="E32" s="4" t="n">
        <v>1</v>
      </c>
      <c r="F32" s="15" t="n">
        <v>811.2</v>
      </c>
      <c r="G32" s="15"/>
      <c r="H32" s="4"/>
      <c r="I32" s="4" t="s">
        <v>191</v>
      </c>
      <c r="J32" s="6" t="n">
        <f aca="false">E32*F32/1000</f>
        <v>0.8112</v>
      </c>
      <c r="K32" s="16"/>
    </row>
    <row r="33" customFormat="false" ht="15" hidden="false" customHeight="false" outlineLevel="0" collapsed="false">
      <c r="A33" s="4" t="n">
        <v>29</v>
      </c>
      <c r="B33" s="4" t="s">
        <v>89</v>
      </c>
      <c r="C33" s="4" t="s">
        <v>184</v>
      </c>
      <c r="D33" s="4" t="s">
        <v>44</v>
      </c>
      <c r="E33" s="4" t="n">
        <v>1</v>
      </c>
      <c r="F33" s="15" t="n">
        <v>811.2</v>
      </c>
      <c r="G33" s="15"/>
      <c r="H33" s="4"/>
      <c r="I33" s="4" t="s">
        <v>191</v>
      </c>
      <c r="J33" s="6" t="n">
        <f aca="false">E33*F33/1000</f>
        <v>0.8112</v>
      </c>
      <c r="K33" s="16"/>
    </row>
    <row r="34" customFormat="false" ht="15" hidden="false" customHeight="false" outlineLevel="0" collapsed="false">
      <c r="A34" s="4" t="n">
        <v>30</v>
      </c>
      <c r="B34" s="4" t="s">
        <v>89</v>
      </c>
      <c r="C34" s="4" t="s">
        <v>185</v>
      </c>
      <c r="D34" s="4" t="s">
        <v>44</v>
      </c>
      <c r="E34" s="4" t="n">
        <v>2</v>
      </c>
      <c r="F34" s="15" t="n">
        <v>488.4</v>
      </c>
      <c r="G34" s="15"/>
      <c r="H34" s="4"/>
      <c r="I34" s="4" t="s">
        <v>193</v>
      </c>
      <c r="J34" s="6" t="n">
        <f aca="false">E34*F34/1000</f>
        <v>0.9768</v>
      </c>
      <c r="K34" s="16"/>
    </row>
    <row r="35" customFormat="false" ht="15" hidden="false" customHeight="false" outlineLevel="0" collapsed="false">
      <c r="A35" s="4" t="n">
        <v>31</v>
      </c>
      <c r="B35" s="4" t="s">
        <v>89</v>
      </c>
      <c r="C35" s="4" t="s">
        <v>187</v>
      </c>
      <c r="D35" s="4" t="s">
        <v>44</v>
      </c>
      <c r="E35" s="4" t="n">
        <v>2</v>
      </c>
      <c r="F35" s="15" t="n">
        <v>488.4</v>
      </c>
      <c r="G35" s="15"/>
      <c r="H35" s="4"/>
      <c r="I35" s="4" t="s">
        <v>186</v>
      </c>
      <c r="J35" s="6" t="n">
        <f aca="false">E35*F35/1000</f>
        <v>0.9768</v>
      </c>
      <c r="K35" s="16"/>
    </row>
    <row r="36" customFormat="false" ht="15" hidden="false" customHeight="false" outlineLevel="0" collapsed="false">
      <c r="A36" s="4" t="n">
        <v>32</v>
      </c>
      <c r="B36" s="4" t="s">
        <v>134</v>
      </c>
      <c r="C36" s="4" t="s">
        <v>194</v>
      </c>
      <c r="D36" s="4" t="s">
        <v>44</v>
      </c>
      <c r="E36" s="4" t="n">
        <v>9</v>
      </c>
      <c r="F36" s="15" t="n">
        <v>505.1</v>
      </c>
      <c r="G36" s="15"/>
      <c r="H36" s="4"/>
      <c r="I36" s="4" t="s">
        <v>193</v>
      </c>
      <c r="J36" s="6" t="n">
        <f aca="false">E36*F36/1000</f>
        <v>4.5459</v>
      </c>
      <c r="K36" s="16"/>
    </row>
    <row r="37" customFormat="false" ht="15" hidden="false" customHeight="false" outlineLevel="0" collapsed="false">
      <c r="A37" s="4" t="n">
        <v>33</v>
      </c>
      <c r="B37" s="4" t="s">
        <v>134</v>
      </c>
      <c r="C37" s="4" t="s">
        <v>195</v>
      </c>
      <c r="D37" s="4" t="s">
        <v>44</v>
      </c>
      <c r="E37" s="4" t="n">
        <v>4</v>
      </c>
      <c r="F37" s="15" t="n">
        <v>876</v>
      </c>
      <c r="G37" s="15"/>
      <c r="H37" s="4"/>
      <c r="I37" s="4" t="s">
        <v>196</v>
      </c>
      <c r="J37" s="6" t="n">
        <f aca="false">E37*F37/1000</f>
        <v>3.504</v>
      </c>
      <c r="K37" s="16"/>
    </row>
    <row r="38" customFormat="false" ht="15" hidden="false" customHeight="false" outlineLevel="0" collapsed="false">
      <c r="A38" s="4" t="n">
        <v>34</v>
      </c>
      <c r="B38" s="4" t="s">
        <v>134</v>
      </c>
      <c r="C38" s="4" t="s">
        <v>197</v>
      </c>
      <c r="D38" s="4" t="s">
        <v>44</v>
      </c>
      <c r="E38" s="4" t="n">
        <v>6</v>
      </c>
      <c r="F38" s="15" t="n">
        <v>541.8</v>
      </c>
      <c r="G38" s="15"/>
      <c r="H38" s="4"/>
      <c r="I38" s="4" t="s">
        <v>198</v>
      </c>
      <c r="J38" s="6" t="n">
        <f aca="false">E38*F38/1000</f>
        <v>3.2508</v>
      </c>
      <c r="K38" s="16"/>
    </row>
    <row r="39" customFormat="false" ht="15" hidden="false" customHeight="false" outlineLevel="0" collapsed="false">
      <c r="A39" s="4" t="n">
        <v>35</v>
      </c>
      <c r="B39" s="4" t="s">
        <v>134</v>
      </c>
      <c r="C39" s="4" t="s">
        <v>199</v>
      </c>
      <c r="D39" s="4" t="s">
        <v>44</v>
      </c>
      <c r="E39" s="4" t="n">
        <v>4</v>
      </c>
      <c r="F39" s="15" t="n">
        <v>876</v>
      </c>
      <c r="G39" s="15"/>
      <c r="H39" s="4"/>
      <c r="I39" s="4" t="s">
        <v>200</v>
      </c>
      <c r="J39" s="6" t="n">
        <f aca="false">E39*F39/1000</f>
        <v>3.504</v>
      </c>
      <c r="K39" s="16"/>
    </row>
    <row r="40" customFormat="false" ht="15" hidden="false" customHeight="false" outlineLevel="0" collapsed="false">
      <c r="A40" s="4" t="n">
        <v>36</v>
      </c>
      <c r="B40" s="4" t="s">
        <v>201</v>
      </c>
      <c r="C40" s="4" t="s">
        <v>163</v>
      </c>
      <c r="D40" s="4" t="s">
        <v>44</v>
      </c>
      <c r="E40" s="4" t="n">
        <v>1</v>
      </c>
      <c r="F40" s="15" t="n">
        <v>338.2</v>
      </c>
      <c r="G40" s="15"/>
      <c r="H40" s="4"/>
      <c r="I40" s="4" t="s">
        <v>202</v>
      </c>
      <c r="J40" s="6" t="n">
        <f aca="false">E40*F40/1000</f>
        <v>0.3382</v>
      </c>
      <c r="K40" s="16"/>
    </row>
    <row r="41" customFormat="false" ht="15" hidden="false" customHeight="false" outlineLevel="0" collapsed="false">
      <c r="A41" s="4" t="n">
        <v>37</v>
      </c>
      <c r="B41" s="4" t="s">
        <v>201</v>
      </c>
      <c r="C41" s="4" t="s">
        <v>165</v>
      </c>
      <c r="D41" s="4" t="s">
        <v>44</v>
      </c>
      <c r="E41" s="4" t="n">
        <v>1</v>
      </c>
      <c r="F41" s="15" t="n">
        <v>338.2</v>
      </c>
      <c r="G41" s="15"/>
      <c r="H41" s="4"/>
      <c r="I41" s="4" t="s">
        <v>202</v>
      </c>
      <c r="J41" s="6" t="n">
        <f aca="false">E41*F41/1000</f>
        <v>0.3382</v>
      </c>
      <c r="K41" s="16"/>
    </row>
    <row r="42" customFormat="false" ht="15" hidden="false" customHeight="false" outlineLevel="0" collapsed="false">
      <c r="A42" s="4" t="n">
        <v>38</v>
      </c>
      <c r="B42" s="4" t="s">
        <v>201</v>
      </c>
      <c r="C42" s="4" t="s">
        <v>167</v>
      </c>
      <c r="D42" s="4" t="s">
        <v>44</v>
      </c>
      <c r="E42" s="4" t="n">
        <v>2</v>
      </c>
      <c r="F42" s="15" t="n">
        <v>400</v>
      </c>
      <c r="G42" s="15"/>
      <c r="H42" s="4"/>
      <c r="I42" s="4" t="s">
        <v>168</v>
      </c>
      <c r="J42" s="6" t="n">
        <f aca="false">E42*F42/1000</f>
        <v>0.8</v>
      </c>
      <c r="K42" s="16"/>
    </row>
    <row r="43" customFormat="false" ht="15" hidden="false" customHeight="false" outlineLevel="0" collapsed="false">
      <c r="A43" s="4" t="n">
        <v>39</v>
      </c>
      <c r="B43" s="4" t="s">
        <v>201</v>
      </c>
      <c r="C43" s="4" t="s">
        <v>169</v>
      </c>
      <c r="D43" s="4" t="s">
        <v>44</v>
      </c>
      <c r="E43" s="4" t="n">
        <v>2</v>
      </c>
      <c r="F43" s="15" t="n">
        <v>100</v>
      </c>
      <c r="G43" s="15"/>
      <c r="H43" s="4"/>
      <c r="I43" s="4" t="s">
        <v>166</v>
      </c>
      <c r="J43" s="6" t="n">
        <f aca="false">E43*F43/1000</f>
        <v>0.2</v>
      </c>
      <c r="K43" s="16"/>
    </row>
    <row r="44" customFormat="false" ht="15" hidden="false" customHeight="false" outlineLevel="0" collapsed="false">
      <c r="A44" s="4" t="n">
        <v>40</v>
      </c>
      <c r="B44" s="4" t="s">
        <v>201</v>
      </c>
      <c r="C44" s="4" t="s">
        <v>171</v>
      </c>
      <c r="D44" s="4" t="s">
        <v>44</v>
      </c>
      <c r="E44" s="4" t="n">
        <v>2</v>
      </c>
      <c r="F44" s="15" t="n">
        <v>100</v>
      </c>
      <c r="G44" s="15"/>
      <c r="H44" s="4"/>
      <c r="I44" s="4" t="s">
        <v>166</v>
      </c>
      <c r="J44" s="6" t="n">
        <f aca="false">E44*F44/1000</f>
        <v>0.2</v>
      </c>
      <c r="K44" s="16"/>
    </row>
    <row r="45" customFormat="false" ht="15" hidden="false" customHeight="false" outlineLevel="0" collapsed="false">
      <c r="A45" s="4" t="n">
        <v>41</v>
      </c>
      <c r="B45" s="4" t="s">
        <v>201</v>
      </c>
      <c r="C45" s="4" t="s">
        <v>173</v>
      </c>
      <c r="D45" s="4" t="s">
        <v>44</v>
      </c>
      <c r="E45" s="4" t="n">
        <v>1</v>
      </c>
      <c r="F45" s="15" t="n">
        <v>414</v>
      </c>
      <c r="G45" s="15"/>
      <c r="H45" s="4"/>
      <c r="I45" s="4" t="s">
        <v>203</v>
      </c>
      <c r="J45" s="6" t="n">
        <f aca="false">E45*F45/1000</f>
        <v>0.414</v>
      </c>
      <c r="K45" s="16"/>
    </row>
    <row r="46" customFormat="false" ht="15" hidden="false" customHeight="false" outlineLevel="0" collapsed="false">
      <c r="A46" s="4" t="n">
        <v>42</v>
      </c>
      <c r="B46" s="4" t="s">
        <v>201</v>
      </c>
      <c r="C46" s="4" t="s">
        <v>175</v>
      </c>
      <c r="D46" s="4" t="s">
        <v>44</v>
      </c>
      <c r="E46" s="4" t="n">
        <v>2</v>
      </c>
      <c r="F46" s="15" t="n">
        <v>368.4</v>
      </c>
      <c r="G46" s="15"/>
      <c r="H46" s="4"/>
      <c r="I46" s="4" t="s">
        <v>181</v>
      </c>
      <c r="J46" s="6" t="n">
        <f aca="false">E46*F46/1000</f>
        <v>0.7368</v>
      </c>
      <c r="K46" s="16"/>
    </row>
    <row r="47" customFormat="false" ht="15" hidden="false" customHeight="false" outlineLevel="0" collapsed="false">
      <c r="A47" s="4" t="n">
        <v>43</v>
      </c>
      <c r="B47" s="4" t="s">
        <v>201</v>
      </c>
      <c r="C47" s="4" t="s">
        <v>177</v>
      </c>
      <c r="D47" s="4" t="s">
        <v>44</v>
      </c>
      <c r="E47" s="4" t="n">
        <v>2</v>
      </c>
      <c r="F47" s="15" t="n">
        <v>772</v>
      </c>
      <c r="G47" s="15"/>
      <c r="H47" s="4"/>
      <c r="I47" s="4" t="s">
        <v>192</v>
      </c>
      <c r="J47" s="6" t="n">
        <f aca="false">E47*F47/1000</f>
        <v>1.544</v>
      </c>
      <c r="K47" s="16"/>
    </row>
    <row r="48" customFormat="false" ht="15" hidden="false" customHeight="false" outlineLevel="0" collapsed="false">
      <c r="A48" s="4" t="n">
        <v>44</v>
      </c>
      <c r="B48" s="4" t="s">
        <v>201</v>
      </c>
      <c r="C48" s="4" t="s">
        <v>179</v>
      </c>
      <c r="D48" s="4" t="s">
        <v>44</v>
      </c>
      <c r="E48" s="4" t="n">
        <v>2</v>
      </c>
      <c r="F48" s="15" t="n">
        <v>772</v>
      </c>
      <c r="G48" s="15"/>
      <c r="H48" s="4"/>
      <c r="I48" s="4" t="s">
        <v>192</v>
      </c>
      <c r="J48" s="6" t="n">
        <f aca="false">E48*F48/1000</f>
        <v>1.544</v>
      </c>
      <c r="K48" s="16"/>
    </row>
    <row r="49" customFormat="false" ht="15" hidden="false" customHeight="false" outlineLevel="0" collapsed="false">
      <c r="A49" s="4" t="n">
        <v>45</v>
      </c>
      <c r="B49" s="4" t="s">
        <v>201</v>
      </c>
      <c r="C49" s="4" t="s">
        <v>180</v>
      </c>
      <c r="D49" s="4" t="s">
        <v>44</v>
      </c>
      <c r="E49" s="4" t="n">
        <v>1</v>
      </c>
      <c r="F49" s="15" t="n">
        <v>414</v>
      </c>
      <c r="G49" s="15"/>
      <c r="H49" s="4"/>
      <c r="I49" s="4" t="s">
        <v>204</v>
      </c>
      <c r="J49" s="6" t="n">
        <f aca="false">E49*F49/1000</f>
        <v>0.414</v>
      </c>
      <c r="K49" s="16"/>
    </row>
    <row r="50" customFormat="false" ht="15" hidden="false" customHeight="false" outlineLevel="0" collapsed="false">
      <c r="A50" s="4" t="n">
        <v>46</v>
      </c>
      <c r="B50" s="4" t="s">
        <v>201</v>
      </c>
      <c r="C50" s="4" t="s">
        <v>182</v>
      </c>
      <c r="D50" s="4" t="s">
        <v>44</v>
      </c>
      <c r="E50" s="4" t="n">
        <v>1</v>
      </c>
      <c r="F50" s="15" t="n">
        <v>414</v>
      </c>
      <c r="G50" s="15"/>
      <c r="H50" s="4"/>
      <c r="I50" s="4" t="s">
        <v>204</v>
      </c>
      <c r="J50" s="6" t="n">
        <f aca="false">E50*F50/1000</f>
        <v>0.414</v>
      </c>
      <c r="K50" s="16"/>
    </row>
    <row r="51" customFormat="false" ht="15" hidden="false" customHeight="false" outlineLevel="0" collapsed="false">
      <c r="A51" s="4" t="n">
        <v>47</v>
      </c>
      <c r="B51" s="4" t="s">
        <v>201</v>
      </c>
      <c r="C51" s="4" t="s">
        <v>183</v>
      </c>
      <c r="D51" s="4" t="s">
        <v>44</v>
      </c>
      <c r="E51" s="4" t="n">
        <v>1</v>
      </c>
      <c r="F51" s="15" t="n">
        <v>414</v>
      </c>
      <c r="G51" s="15"/>
      <c r="H51" s="4"/>
      <c r="I51" s="4" t="s">
        <v>204</v>
      </c>
      <c r="J51" s="6" t="n">
        <f aca="false">E51*F51/1000</f>
        <v>0.414</v>
      </c>
      <c r="K51" s="16"/>
    </row>
    <row r="52" customFormat="false" ht="15" hidden="false" customHeight="false" outlineLevel="0" collapsed="false">
      <c r="A52" s="4" t="n">
        <v>48</v>
      </c>
      <c r="B52" s="4" t="s">
        <v>201</v>
      </c>
      <c r="C52" s="4" t="s">
        <v>184</v>
      </c>
      <c r="D52" s="4" t="s">
        <v>44</v>
      </c>
      <c r="E52" s="4" t="n">
        <v>1</v>
      </c>
      <c r="F52" s="15" t="n">
        <v>414</v>
      </c>
      <c r="G52" s="15"/>
      <c r="H52" s="4"/>
      <c r="I52" s="4" t="s">
        <v>168</v>
      </c>
      <c r="J52" s="6" t="n">
        <f aca="false">E52*F52/1000</f>
        <v>0.414</v>
      </c>
      <c r="K52" s="16"/>
    </row>
    <row r="53" customFormat="false" ht="15" hidden="false" customHeight="false" outlineLevel="0" collapsed="false">
      <c r="A53" s="4" t="n">
        <v>49</v>
      </c>
      <c r="B53" s="4" t="s">
        <v>201</v>
      </c>
      <c r="C53" s="4" t="s">
        <v>185</v>
      </c>
      <c r="D53" s="4" t="s">
        <v>44</v>
      </c>
      <c r="E53" s="4" t="n">
        <v>2</v>
      </c>
      <c r="F53" s="15" t="n">
        <v>484.4</v>
      </c>
      <c r="G53" s="15"/>
      <c r="H53" s="4"/>
      <c r="I53" s="4" t="s">
        <v>186</v>
      </c>
      <c r="J53" s="6" t="n">
        <f aca="false">E53*F53/1000</f>
        <v>0.9688</v>
      </c>
      <c r="K53" s="16"/>
    </row>
    <row r="54" customFormat="false" ht="15" hidden="false" customHeight="false" outlineLevel="0" collapsed="false">
      <c r="A54" s="4" t="n">
        <v>50</v>
      </c>
      <c r="B54" s="4" t="s">
        <v>201</v>
      </c>
      <c r="C54" s="4" t="s">
        <v>187</v>
      </c>
      <c r="D54" s="4" t="s">
        <v>44</v>
      </c>
      <c r="E54" s="4" t="n">
        <v>2</v>
      </c>
      <c r="F54" s="15" t="n">
        <v>484.4</v>
      </c>
      <c r="G54" s="15"/>
      <c r="H54" s="4"/>
      <c r="I54" s="4" t="s">
        <v>205</v>
      </c>
      <c r="J54" s="6" t="n">
        <f aca="false">E54*F54/1000</f>
        <v>0.9688</v>
      </c>
      <c r="K54" s="16"/>
    </row>
    <row r="55" customFormat="false" ht="15" hidden="false" customHeight="false" outlineLevel="0" collapsed="false">
      <c r="A55" s="4" t="n">
        <v>51</v>
      </c>
      <c r="B55" s="4" t="s">
        <v>201</v>
      </c>
      <c r="C55" s="4" t="s">
        <v>188</v>
      </c>
      <c r="D55" s="4" t="s">
        <v>44</v>
      </c>
      <c r="E55" s="4" t="n">
        <v>4</v>
      </c>
      <c r="F55" s="15" t="n">
        <v>484.4</v>
      </c>
      <c r="G55" s="15"/>
      <c r="H55" s="4"/>
      <c r="I55" s="4" t="s">
        <v>206</v>
      </c>
      <c r="J55" s="6" t="n">
        <f aca="false">E55*F55/1000</f>
        <v>1.9376</v>
      </c>
      <c r="K55" s="16"/>
    </row>
    <row r="56" customFormat="false" ht="15" hidden="false" customHeight="false" outlineLevel="0" collapsed="false">
      <c r="A56" s="4" t="n">
        <v>52</v>
      </c>
      <c r="B56" s="4" t="s">
        <v>128</v>
      </c>
      <c r="C56" s="4" t="s">
        <v>163</v>
      </c>
      <c r="D56" s="4" t="s">
        <v>44</v>
      </c>
      <c r="E56" s="4" t="n">
        <v>1</v>
      </c>
      <c r="F56" s="15" t="n">
        <v>638.2</v>
      </c>
      <c r="G56" s="15"/>
      <c r="H56" s="4"/>
      <c r="I56" s="4" t="s">
        <v>207</v>
      </c>
      <c r="J56" s="6" t="n">
        <f aca="false">E56*F56/1000</f>
        <v>0.6382</v>
      </c>
      <c r="K56" s="16"/>
    </row>
    <row r="57" customFormat="false" ht="15" hidden="false" customHeight="false" outlineLevel="0" collapsed="false">
      <c r="A57" s="4" t="n">
        <v>53</v>
      </c>
      <c r="B57" s="4" t="s">
        <v>128</v>
      </c>
      <c r="C57" s="4" t="s">
        <v>165</v>
      </c>
      <c r="D57" s="4" t="s">
        <v>44</v>
      </c>
      <c r="E57" s="4" t="n">
        <v>1</v>
      </c>
      <c r="F57" s="15" t="n">
        <v>638.2</v>
      </c>
      <c r="G57" s="15"/>
      <c r="H57" s="4"/>
      <c r="I57" s="4" t="s">
        <v>207</v>
      </c>
      <c r="J57" s="6" t="n">
        <f aca="false">E57*F57/1000</f>
        <v>0.6382</v>
      </c>
      <c r="K57" s="16"/>
    </row>
    <row r="58" customFormat="false" ht="15" hidden="false" customHeight="false" outlineLevel="0" collapsed="false">
      <c r="A58" s="4" t="n">
        <v>54</v>
      </c>
      <c r="B58" s="4" t="s">
        <v>128</v>
      </c>
      <c r="C58" s="4" t="s">
        <v>167</v>
      </c>
      <c r="D58" s="4" t="s">
        <v>44</v>
      </c>
      <c r="E58" s="4" t="n">
        <v>2</v>
      </c>
      <c r="F58" s="15" t="n">
        <v>400</v>
      </c>
      <c r="G58" s="15"/>
      <c r="H58" s="4"/>
      <c r="I58" s="4" t="s">
        <v>168</v>
      </c>
      <c r="J58" s="6" t="n">
        <f aca="false">E58*F58/1000</f>
        <v>0.8</v>
      </c>
      <c r="K58" s="16"/>
    </row>
    <row r="59" customFormat="false" ht="15" hidden="false" customHeight="false" outlineLevel="0" collapsed="false">
      <c r="A59" s="4" t="n">
        <v>55</v>
      </c>
      <c r="B59" s="4" t="s">
        <v>128</v>
      </c>
      <c r="C59" s="4" t="s">
        <v>169</v>
      </c>
      <c r="D59" s="4" t="s">
        <v>44</v>
      </c>
      <c r="E59" s="4" t="n">
        <v>2</v>
      </c>
      <c r="F59" s="15" t="n">
        <v>100</v>
      </c>
      <c r="G59" s="15"/>
      <c r="H59" s="4"/>
      <c r="I59" s="4" t="s">
        <v>166</v>
      </c>
      <c r="J59" s="6" t="n">
        <f aca="false">E59*F59/1000</f>
        <v>0.2</v>
      </c>
      <c r="K59" s="16"/>
    </row>
    <row r="60" customFormat="false" ht="15" hidden="false" customHeight="false" outlineLevel="0" collapsed="false">
      <c r="A60" s="4" t="n">
        <v>56</v>
      </c>
      <c r="B60" s="4" t="s">
        <v>128</v>
      </c>
      <c r="C60" s="4" t="s">
        <v>171</v>
      </c>
      <c r="D60" s="4" t="s">
        <v>44</v>
      </c>
      <c r="E60" s="4" t="n">
        <v>2</v>
      </c>
      <c r="F60" s="15" t="n">
        <v>100</v>
      </c>
      <c r="G60" s="15"/>
      <c r="H60" s="4"/>
      <c r="I60" s="4" t="s">
        <v>166</v>
      </c>
      <c r="J60" s="6" t="n">
        <f aca="false">E60*F60/1000</f>
        <v>0.2</v>
      </c>
      <c r="K60" s="16"/>
    </row>
    <row r="61" customFormat="false" ht="15" hidden="false" customHeight="false" outlineLevel="0" collapsed="false">
      <c r="A61" s="4" t="n">
        <v>57</v>
      </c>
      <c r="B61" s="4" t="s">
        <v>128</v>
      </c>
      <c r="C61" s="4" t="s">
        <v>173</v>
      </c>
      <c r="D61" s="4" t="s">
        <v>44</v>
      </c>
      <c r="E61" s="4" t="n">
        <v>1</v>
      </c>
      <c r="F61" s="15" t="n">
        <v>714</v>
      </c>
      <c r="G61" s="15"/>
      <c r="H61" s="4"/>
      <c r="I61" s="4" t="s">
        <v>189</v>
      </c>
      <c r="J61" s="6" t="n">
        <f aca="false">E61*F61/1000</f>
        <v>0.714</v>
      </c>
      <c r="K61" s="16"/>
    </row>
    <row r="62" customFormat="false" ht="15" hidden="false" customHeight="false" outlineLevel="0" collapsed="false">
      <c r="A62" s="4" t="n">
        <v>58</v>
      </c>
      <c r="B62" s="4" t="s">
        <v>128</v>
      </c>
      <c r="C62" s="4" t="s">
        <v>175</v>
      </c>
      <c r="D62" s="4" t="s">
        <v>44</v>
      </c>
      <c r="E62" s="4" t="n">
        <v>2</v>
      </c>
      <c r="F62" s="15" t="n">
        <v>368.4</v>
      </c>
      <c r="G62" s="15"/>
      <c r="H62" s="4"/>
      <c r="I62" s="4" t="s">
        <v>181</v>
      </c>
      <c r="J62" s="6" t="n">
        <f aca="false">E62*F62/1000</f>
        <v>0.7368</v>
      </c>
      <c r="K62" s="16"/>
    </row>
    <row r="63" customFormat="false" ht="15" hidden="false" customHeight="false" outlineLevel="0" collapsed="false">
      <c r="A63" s="4" t="n">
        <v>59</v>
      </c>
      <c r="B63" s="4" t="s">
        <v>128</v>
      </c>
      <c r="C63" s="4" t="s">
        <v>177</v>
      </c>
      <c r="D63" s="4" t="s">
        <v>44</v>
      </c>
      <c r="E63" s="4" t="n">
        <v>2</v>
      </c>
      <c r="F63" s="15" t="n">
        <v>772</v>
      </c>
      <c r="G63" s="15"/>
      <c r="H63" s="4"/>
      <c r="I63" s="4" t="s">
        <v>208</v>
      </c>
      <c r="J63" s="6" t="n">
        <f aca="false">E63*F63/1000</f>
        <v>1.544</v>
      </c>
      <c r="K63" s="16"/>
    </row>
    <row r="64" customFormat="false" ht="15" hidden="false" customHeight="false" outlineLevel="0" collapsed="false">
      <c r="A64" s="4" t="n">
        <v>60</v>
      </c>
      <c r="B64" s="4" t="s">
        <v>128</v>
      </c>
      <c r="C64" s="4" t="s">
        <v>179</v>
      </c>
      <c r="D64" s="4" t="s">
        <v>44</v>
      </c>
      <c r="E64" s="4" t="n">
        <v>2</v>
      </c>
      <c r="F64" s="15" t="n">
        <v>772</v>
      </c>
      <c r="G64" s="15"/>
      <c r="H64" s="4"/>
      <c r="I64" s="4" t="s">
        <v>208</v>
      </c>
      <c r="J64" s="6" t="n">
        <f aca="false">E64*F64/1000</f>
        <v>1.544</v>
      </c>
      <c r="K64" s="16"/>
    </row>
    <row r="65" customFormat="false" ht="15" hidden="false" customHeight="false" outlineLevel="0" collapsed="false">
      <c r="A65" s="4" t="n">
        <v>61</v>
      </c>
      <c r="B65" s="4" t="s">
        <v>128</v>
      </c>
      <c r="C65" s="4" t="s">
        <v>180</v>
      </c>
      <c r="D65" s="4" t="s">
        <v>44</v>
      </c>
      <c r="E65" s="4" t="n">
        <v>1</v>
      </c>
      <c r="F65" s="15" t="n">
        <v>714</v>
      </c>
      <c r="G65" s="15"/>
      <c r="H65" s="4"/>
      <c r="I65" s="4" t="s">
        <v>189</v>
      </c>
      <c r="J65" s="6" t="n">
        <f aca="false">E65*F65/1000</f>
        <v>0.714</v>
      </c>
      <c r="K65" s="16"/>
    </row>
    <row r="66" customFormat="false" ht="15" hidden="false" customHeight="false" outlineLevel="0" collapsed="false">
      <c r="A66" s="4" t="n">
        <v>62</v>
      </c>
      <c r="B66" s="4" t="s">
        <v>128</v>
      </c>
      <c r="C66" s="4" t="s">
        <v>182</v>
      </c>
      <c r="D66" s="4" t="s">
        <v>44</v>
      </c>
      <c r="E66" s="4" t="n">
        <v>1</v>
      </c>
      <c r="F66" s="15" t="n">
        <v>714</v>
      </c>
      <c r="G66" s="15"/>
      <c r="H66" s="4"/>
      <c r="I66" s="4" t="s">
        <v>189</v>
      </c>
      <c r="J66" s="6" t="n">
        <f aca="false">E66*F66/1000</f>
        <v>0.714</v>
      </c>
      <c r="K66" s="16"/>
    </row>
    <row r="67" customFormat="false" ht="15" hidden="false" customHeight="false" outlineLevel="0" collapsed="false">
      <c r="A67" s="4" t="n">
        <v>63</v>
      </c>
      <c r="B67" s="4" t="s">
        <v>128</v>
      </c>
      <c r="C67" s="4" t="s">
        <v>183</v>
      </c>
      <c r="D67" s="4" t="s">
        <v>44</v>
      </c>
      <c r="E67" s="4" t="n">
        <v>1</v>
      </c>
      <c r="F67" s="15" t="n">
        <v>714</v>
      </c>
      <c r="G67" s="15"/>
      <c r="H67" s="4"/>
      <c r="I67" s="4" t="s">
        <v>189</v>
      </c>
      <c r="J67" s="6" t="n">
        <f aca="false">E67*F67/1000</f>
        <v>0.714</v>
      </c>
      <c r="K67" s="16"/>
    </row>
    <row r="68" customFormat="false" ht="15" hidden="false" customHeight="false" outlineLevel="0" collapsed="false">
      <c r="A68" s="4" t="n">
        <v>64</v>
      </c>
      <c r="B68" s="4" t="s">
        <v>128</v>
      </c>
      <c r="C68" s="4" t="s">
        <v>184</v>
      </c>
      <c r="D68" s="4" t="s">
        <v>44</v>
      </c>
      <c r="E68" s="4" t="n">
        <v>1</v>
      </c>
      <c r="F68" s="15" t="n">
        <v>714</v>
      </c>
      <c r="G68" s="15"/>
      <c r="H68" s="4"/>
      <c r="I68" s="4" t="s">
        <v>189</v>
      </c>
      <c r="J68" s="6" t="n">
        <f aca="false">E68*F68/1000</f>
        <v>0.714</v>
      </c>
      <c r="K68" s="16"/>
    </row>
    <row r="69" customFormat="false" ht="15" hidden="false" customHeight="false" outlineLevel="0" collapsed="false">
      <c r="A69" s="4" t="n">
        <v>65</v>
      </c>
      <c r="B69" s="4" t="s">
        <v>128</v>
      </c>
      <c r="C69" s="4" t="s">
        <v>185</v>
      </c>
      <c r="D69" s="4" t="s">
        <v>44</v>
      </c>
      <c r="E69" s="4" t="n">
        <v>2</v>
      </c>
      <c r="F69" s="15" t="n">
        <v>484.4</v>
      </c>
      <c r="G69" s="15"/>
      <c r="H69" s="4"/>
      <c r="I69" s="4" t="s">
        <v>206</v>
      </c>
      <c r="J69" s="6" t="n">
        <f aca="false">E69*F69/1000</f>
        <v>0.9688</v>
      </c>
      <c r="K69" s="16"/>
    </row>
    <row r="70" customFormat="false" ht="15" hidden="false" customHeight="false" outlineLevel="0" collapsed="false">
      <c r="A70" s="4" t="n">
        <v>66</v>
      </c>
      <c r="B70" s="4" t="s">
        <v>128</v>
      </c>
      <c r="C70" s="4" t="s">
        <v>187</v>
      </c>
      <c r="D70" s="4" t="s">
        <v>44</v>
      </c>
      <c r="E70" s="4" t="n">
        <v>2</v>
      </c>
      <c r="F70" s="15" t="n">
        <v>484.4</v>
      </c>
      <c r="G70" s="15"/>
      <c r="H70" s="4"/>
      <c r="I70" s="4" t="s">
        <v>206</v>
      </c>
      <c r="J70" s="6" t="n">
        <f aca="false">E70*F70/1000</f>
        <v>0.9688</v>
      </c>
      <c r="K70" s="16"/>
    </row>
    <row r="71" customFormat="false" ht="15" hidden="false" customHeight="false" outlineLevel="0" collapsed="false">
      <c r="A71" s="4" t="n">
        <v>67</v>
      </c>
      <c r="B71" s="4" t="s">
        <v>128</v>
      </c>
      <c r="C71" s="4" t="s">
        <v>188</v>
      </c>
      <c r="D71" s="4" t="s">
        <v>44</v>
      </c>
      <c r="E71" s="4" t="n">
        <v>2</v>
      </c>
      <c r="F71" s="15" t="n">
        <v>484.4</v>
      </c>
      <c r="G71" s="15"/>
      <c r="H71" s="4"/>
      <c r="I71" s="4" t="s">
        <v>206</v>
      </c>
      <c r="J71" s="6" t="n">
        <f aca="false">E71*F71/1000</f>
        <v>0.9688</v>
      </c>
      <c r="K71" s="16"/>
    </row>
    <row r="72" customFormat="false" ht="15" hidden="false" customHeight="false" outlineLevel="0" collapsed="false">
      <c r="A72" s="4" t="n">
        <v>68</v>
      </c>
      <c r="B72" s="4" t="s">
        <v>209</v>
      </c>
      <c r="C72" s="4" t="s">
        <v>163</v>
      </c>
      <c r="D72" s="4" t="s">
        <v>44</v>
      </c>
      <c r="E72" s="4" t="n">
        <v>1</v>
      </c>
      <c r="F72" s="15" t="n">
        <v>338.2</v>
      </c>
      <c r="G72" s="15"/>
      <c r="H72" s="4"/>
      <c r="I72" s="4" t="s">
        <v>202</v>
      </c>
      <c r="J72" s="6" t="n">
        <f aca="false">E72*F72/1000</f>
        <v>0.3382</v>
      </c>
      <c r="K72" s="16"/>
    </row>
    <row r="73" customFormat="false" ht="15" hidden="false" customHeight="false" outlineLevel="0" collapsed="false">
      <c r="A73" s="4" t="n">
        <v>69</v>
      </c>
      <c r="B73" s="4" t="s">
        <v>209</v>
      </c>
      <c r="C73" s="4" t="s">
        <v>165</v>
      </c>
      <c r="D73" s="4" t="s">
        <v>44</v>
      </c>
      <c r="E73" s="4" t="n">
        <v>1</v>
      </c>
      <c r="F73" s="15" t="n">
        <v>338.2</v>
      </c>
      <c r="G73" s="15"/>
      <c r="H73" s="4"/>
      <c r="I73" s="4" t="s">
        <v>202</v>
      </c>
      <c r="J73" s="6" t="n">
        <f aca="false">E73*F73/1000</f>
        <v>0.3382</v>
      </c>
      <c r="K73" s="16"/>
    </row>
    <row r="74" customFormat="false" ht="15" hidden="false" customHeight="false" outlineLevel="0" collapsed="false">
      <c r="A74" s="4" t="n">
        <v>70</v>
      </c>
      <c r="B74" s="4" t="s">
        <v>209</v>
      </c>
      <c r="C74" s="4" t="s">
        <v>167</v>
      </c>
      <c r="D74" s="4" t="s">
        <v>44</v>
      </c>
      <c r="E74" s="4" t="n">
        <v>2</v>
      </c>
      <c r="F74" s="15" t="n">
        <v>400</v>
      </c>
      <c r="G74" s="15"/>
      <c r="H74" s="4"/>
      <c r="I74" s="4" t="s">
        <v>210</v>
      </c>
      <c r="J74" s="6" t="n">
        <f aca="false">E74*F74/1000</f>
        <v>0.8</v>
      </c>
      <c r="K74" s="16"/>
    </row>
    <row r="75" customFormat="false" ht="15" hidden="false" customHeight="false" outlineLevel="0" collapsed="false">
      <c r="A75" s="4" t="n">
        <v>71</v>
      </c>
      <c r="B75" s="4" t="s">
        <v>209</v>
      </c>
      <c r="C75" s="4" t="s">
        <v>169</v>
      </c>
      <c r="D75" s="4" t="s">
        <v>44</v>
      </c>
      <c r="E75" s="4" t="n">
        <v>2</v>
      </c>
      <c r="F75" s="15" t="n">
        <v>100</v>
      </c>
      <c r="G75" s="15"/>
      <c r="H75" s="4"/>
      <c r="I75" s="4" t="s">
        <v>166</v>
      </c>
      <c r="J75" s="6" t="n">
        <f aca="false">E75*F75/1000</f>
        <v>0.2</v>
      </c>
      <c r="K75" s="16"/>
    </row>
    <row r="76" customFormat="false" ht="15" hidden="false" customHeight="false" outlineLevel="0" collapsed="false">
      <c r="A76" s="4" t="n">
        <v>72</v>
      </c>
      <c r="B76" s="4" t="s">
        <v>209</v>
      </c>
      <c r="C76" s="4" t="s">
        <v>171</v>
      </c>
      <c r="D76" s="4" t="s">
        <v>44</v>
      </c>
      <c r="E76" s="4" t="n">
        <v>2</v>
      </c>
      <c r="F76" s="15" t="n">
        <v>100</v>
      </c>
      <c r="G76" s="15"/>
      <c r="H76" s="4"/>
      <c r="I76" s="4" t="s">
        <v>166</v>
      </c>
      <c r="J76" s="6" t="n">
        <f aca="false">E76*F76/1000</f>
        <v>0.2</v>
      </c>
      <c r="K76" s="16"/>
    </row>
    <row r="77" customFormat="false" ht="15" hidden="false" customHeight="false" outlineLevel="0" collapsed="false">
      <c r="A77" s="4" t="n">
        <v>73</v>
      </c>
      <c r="B77" s="4" t="s">
        <v>209</v>
      </c>
      <c r="C77" s="4" t="s">
        <v>173</v>
      </c>
      <c r="D77" s="4" t="s">
        <v>44</v>
      </c>
      <c r="E77" s="4" t="n">
        <v>1</v>
      </c>
      <c r="F77" s="15" t="n">
        <v>414</v>
      </c>
      <c r="G77" s="15"/>
      <c r="H77" s="4"/>
      <c r="I77" s="4" t="s">
        <v>168</v>
      </c>
      <c r="J77" s="6" t="n">
        <f aca="false">E77*F77/1000</f>
        <v>0.414</v>
      </c>
      <c r="K77" s="16"/>
    </row>
    <row r="78" customFormat="false" ht="15" hidden="false" customHeight="false" outlineLevel="0" collapsed="false">
      <c r="A78" s="4" t="n">
        <v>74</v>
      </c>
      <c r="B78" s="4" t="s">
        <v>209</v>
      </c>
      <c r="C78" s="4" t="s">
        <v>175</v>
      </c>
      <c r="D78" s="4" t="s">
        <v>44</v>
      </c>
      <c r="E78" s="4" t="n">
        <v>2</v>
      </c>
      <c r="F78" s="15" t="n">
        <v>368.4</v>
      </c>
      <c r="G78" s="15"/>
      <c r="H78" s="4"/>
      <c r="I78" s="4" t="s">
        <v>181</v>
      </c>
      <c r="J78" s="6" t="n">
        <f aca="false">E78*F78/1000</f>
        <v>0.7368</v>
      </c>
      <c r="K78" s="16"/>
    </row>
    <row r="79" customFormat="false" ht="15" hidden="false" customHeight="false" outlineLevel="0" collapsed="false">
      <c r="A79" s="4" t="n">
        <v>75</v>
      </c>
      <c r="B79" s="4" t="s">
        <v>209</v>
      </c>
      <c r="C79" s="4" t="s">
        <v>177</v>
      </c>
      <c r="D79" s="4" t="s">
        <v>44</v>
      </c>
      <c r="E79" s="4" t="n">
        <v>2</v>
      </c>
      <c r="F79" s="15" t="n">
        <v>772</v>
      </c>
      <c r="G79" s="15"/>
      <c r="H79" s="4"/>
      <c r="I79" s="4" t="s">
        <v>208</v>
      </c>
      <c r="J79" s="6" t="n">
        <f aca="false">E79*F79/1000</f>
        <v>1.544</v>
      </c>
      <c r="K79" s="16"/>
    </row>
    <row r="80" customFormat="false" ht="15" hidden="false" customHeight="false" outlineLevel="0" collapsed="false">
      <c r="A80" s="4" t="n">
        <v>76</v>
      </c>
      <c r="B80" s="4" t="s">
        <v>209</v>
      </c>
      <c r="C80" s="4" t="s">
        <v>179</v>
      </c>
      <c r="D80" s="4" t="s">
        <v>44</v>
      </c>
      <c r="E80" s="4" t="n">
        <v>2</v>
      </c>
      <c r="F80" s="15" t="n">
        <v>772</v>
      </c>
      <c r="G80" s="15"/>
      <c r="H80" s="4"/>
      <c r="I80" s="4" t="s">
        <v>208</v>
      </c>
      <c r="J80" s="6" t="n">
        <f aca="false">E80*F80/1000</f>
        <v>1.544</v>
      </c>
      <c r="K80" s="16"/>
    </row>
    <row r="81" customFormat="false" ht="15" hidden="false" customHeight="false" outlineLevel="0" collapsed="false">
      <c r="A81" s="4" t="n">
        <v>77</v>
      </c>
      <c r="B81" s="4" t="s">
        <v>209</v>
      </c>
      <c r="C81" s="4" t="s">
        <v>180</v>
      </c>
      <c r="D81" s="4" t="s">
        <v>44</v>
      </c>
      <c r="E81" s="4" t="n">
        <v>1</v>
      </c>
      <c r="F81" s="15" t="n">
        <v>414</v>
      </c>
      <c r="G81" s="15"/>
      <c r="H81" s="4"/>
      <c r="I81" s="4" t="s">
        <v>168</v>
      </c>
      <c r="J81" s="6" t="n">
        <f aca="false">E81*F81/1000</f>
        <v>0.414</v>
      </c>
      <c r="K81" s="16"/>
    </row>
    <row r="82" customFormat="false" ht="15" hidden="false" customHeight="false" outlineLevel="0" collapsed="false">
      <c r="A82" s="4" t="n">
        <v>78</v>
      </c>
      <c r="B82" s="4" t="s">
        <v>209</v>
      </c>
      <c r="C82" s="4" t="s">
        <v>182</v>
      </c>
      <c r="D82" s="4" t="s">
        <v>44</v>
      </c>
      <c r="E82" s="4" t="n">
        <v>1</v>
      </c>
      <c r="F82" s="15" t="n">
        <v>414</v>
      </c>
      <c r="G82" s="15"/>
      <c r="H82" s="4"/>
      <c r="I82" s="4" t="s">
        <v>168</v>
      </c>
      <c r="J82" s="6" t="n">
        <f aca="false">E82*F82/1000</f>
        <v>0.414</v>
      </c>
      <c r="K82" s="16"/>
    </row>
    <row r="83" customFormat="false" ht="15" hidden="false" customHeight="false" outlineLevel="0" collapsed="false">
      <c r="A83" s="4" t="n">
        <v>79</v>
      </c>
      <c r="B83" s="4" t="s">
        <v>209</v>
      </c>
      <c r="C83" s="4" t="s">
        <v>183</v>
      </c>
      <c r="D83" s="4" t="s">
        <v>44</v>
      </c>
      <c r="E83" s="4" t="n">
        <v>1</v>
      </c>
      <c r="F83" s="15" t="n">
        <v>414</v>
      </c>
      <c r="G83" s="15"/>
      <c r="H83" s="4"/>
      <c r="I83" s="4" t="s">
        <v>168</v>
      </c>
      <c r="J83" s="6" t="n">
        <f aca="false">E83*F83/1000</f>
        <v>0.414</v>
      </c>
      <c r="K83" s="16"/>
    </row>
    <row r="84" customFormat="false" ht="15" hidden="false" customHeight="false" outlineLevel="0" collapsed="false">
      <c r="A84" s="4" t="n">
        <v>80</v>
      </c>
      <c r="B84" s="4" t="s">
        <v>209</v>
      </c>
      <c r="C84" s="4" t="s">
        <v>184</v>
      </c>
      <c r="D84" s="4" t="s">
        <v>44</v>
      </c>
      <c r="E84" s="4" t="n">
        <v>1</v>
      </c>
      <c r="F84" s="15" t="n">
        <v>414</v>
      </c>
      <c r="G84" s="15"/>
      <c r="H84" s="4"/>
      <c r="I84" s="4" t="s">
        <v>168</v>
      </c>
      <c r="J84" s="6" t="n">
        <f aca="false">E84*F84/1000</f>
        <v>0.414</v>
      </c>
      <c r="K84" s="16"/>
    </row>
    <row r="85" customFormat="false" ht="15" hidden="false" customHeight="false" outlineLevel="0" collapsed="false">
      <c r="A85" s="4" t="n">
        <v>81</v>
      </c>
      <c r="B85" s="4" t="s">
        <v>209</v>
      </c>
      <c r="C85" s="4" t="s">
        <v>185</v>
      </c>
      <c r="D85" s="4" t="s">
        <v>44</v>
      </c>
      <c r="E85" s="4" t="n">
        <v>2</v>
      </c>
      <c r="F85" s="15" t="n">
        <v>484.4</v>
      </c>
      <c r="G85" s="15"/>
      <c r="H85" s="4"/>
      <c r="I85" s="4" t="s">
        <v>206</v>
      </c>
      <c r="J85" s="6" t="n">
        <f aca="false">E85*F85/1000</f>
        <v>0.9688</v>
      </c>
      <c r="K85" s="16"/>
    </row>
    <row r="86" customFormat="false" ht="15" hidden="false" customHeight="false" outlineLevel="0" collapsed="false">
      <c r="A86" s="4" t="n">
        <v>82</v>
      </c>
      <c r="B86" s="4" t="s">
        <v>209</v>
      </c>
      <c r="C86" s="4" t="s">
        <v>187</v>
      </c>
      <c r="D86" s="4" t="s">
        <v>44</v>
      </c>
      <c r="E86" s="4" t="n">
        <v>2</v>
      </c>
      <c r="F86" s="15" t="n">
        <v>484.4</v>
      </c>
      <c r="G86" s="15"/>
      <c r="H86" s="4"/>
      <c r="I86" s="4" t="s">
        <v>204</v>
      </c>
      <c r="J86" s="6" t="n">
        <f aca="false">E86*F86/1000</f>
        <v>0.9688</v>
      </c>
      <c r="K86" s="16"/>
    </row>
    <row r="87" customFormat="false" ht="15" hidden="false" customHeight="false" outlineLevel="0" collapsed="false">
      <c r="A87" s="4" t="n">
        <v>83</v>
      </c>
      <c r="B87" s="4" t="s">
        <v>209</v>
      </c>
      <c r="C87" s="4" t="s">
        <v>188</v>
      </c>
      <c r="D87" s="4" t="s">
        <v>44</v>
      </c>
      <c r="E87" s="4" t="n">
        <v>4</v>
      </c>
      <c r="F87" s="15" t="n">
        <v>484.4</v>
      </c>
      <c r="G87" s="15"/>
      <c r="H87" s="4"/>
      <c r="I87" s="4" t="s">
        <v>204</v>
      </c>
      <c r="J87" s="6" t="n">
        <f aca="false">E87*F87/1000</f>
        <v>1.9376</v>
      </c>
      <c r="K87" s="16"/>
    </row>
    <row r="88" customFormat="false" ht="15" hidden="false" customHeight="false" outlineLevel="0" collapsed="false">
      <c r="A88" s="4" t="n">
        <v>84</v>
      </c>
      <c r="B88" s="4" t="s">
        <v>211</v>
      </c>
      <c r="C88" s="4" t="s">
        <v>212</v>
      </c>
      <c r="D88" s="4" t="s">
        <v>44</v>
      </c>
      <c r="E88" s="4" t="n">
        <v>1</v>
      </c>
      <c r="F88" s="15" t="n">
        <v>449</v>
      </c>
      <c r="G88" s="15"/>
      <c r="H88" s="4"/>
      <c r="I88" s="4" t="s">
        <v>204</v>
      </c>
      <c r="J88" s="6" t="n">
        <f aca="false">E88*F88/1000</f>
        <v>0.449</v>
      </c>
      <c r="K88" s="16"/>
    </row>
    <row r="89" customFormat="false" ht="15" hidden="false" customHeight="false" outlineLevel="0" collapsed="false">
      <c r="A89" s="4" t="n">
        <v>85</v>
      </c>
      <c r="B89" s="4" t="s">
        <v>211</v>
      </c>
      <c r="C89" s="4" t="s">
        <v>177</v>
      </c>
      <c r="D89" s="4" t="s">
        <v>44</v>
      </c>
      <c r="E89" s="4" t="n">
        <v>1</v>
      </c>
      <c r="F89" s="15" t="n">
        <v>449</v>
      </c>
      <c r="G89" s="15"/>
      <c r="H89" s="4"/>
      <c r="I89" s="4" t="s">
        <v>204</v>
      </c>
      <c r="J89" s="6" t="n">
        <f aca="false">E89*F89/1000</f>
        <v>0.449</v>
      </c>
      <c r="K89" s="16"/>
    </row>
    <row r="90" customFormat="false" ht="15" hidden="false" customHeight="false" outlineLevel="0" collapsed="false">
      <c r="A90" s="4" t="n">
        <v>86</v>
      </c>
      <c r="B90" s="4" t="s">
        <v>211</v>
      </c>
      <c r="C90" s="4" t="s">
        <v>179</v>
      </c>
      <c r="D90" s="4" t="s">
        <v>44</v>
      </c>
      <c r="E90" s="4" t="n">
        <v>2</v>
      </c>
      <c r="F90" s="15" t="n">
        <v>449</v>
      </c>
      <c r="G90" s="15"/>
      <c r="H90" s="4"/>
      <c r="I90" s="4" t="s">
        <v>204</v>
      </c>
      <c r="J90" s="6" t="n">
        <f aca="false">E90*F90/1000</f>
        <v>0.898</v>
      </c>
      <c r="K90" s="16"/>
    </row>
    <row r="91" customFormat="false" ht="15" hidden="false" customHeight="false" outlineLevel="0" collapsed="false">
      <c r="A91" s="4" t="n">
        <v>87</v>
      </c>
      <c r="B91" s="4" t="s">
        <v>211</v>
      </c>
      <c r="C91" s="4" t="s">
        <v>180</v>
      </c>
      <c r="D91" s="4" t="s">
        <v>44</v>
      </c>
      <c r="E91" s="4" t="n">
        <v>1</v>
      </c>
      <c r="F91" s="15" t="n">
        <v>891.2</v>
      </c>
      <c r="G91" s="15"/>
      <c r="H91" s="4" t="s">
        <v>213</v>
      </c>
      <c r="I91" s="4" t="s">
        <v>214</v>
      </c>
      <c r="J91" s="6" t="n">
        <f aca="false">E91*F91/1000</f>
        <v>0.8912</v>
      </c>
      <c r="K91" s="16"/>
    </row>
    <row r="92" customFormat="false" ht="15" hidden="false" customHeight="false" outlineLevel="0" collapsed="false">
      <c r="A92" s="4" t="n">
        <v>88</v>
      </c>
      <c r="B92" s="4" t="s">
        <v>211</v>
      </c>
      <c r="C92" s="4" t="s">
        <v>182</v>
      </c>
      <c r="D92" s="4" t="s">
        <v>44</v>
      </c>
      <c r="E92" s="4" t="n">
        <v>1</v>
      </c>
      <c r="F92" s="15" t="n">
        <v>891.2</v>
      </c>
      <c r="G92" s="15"/>
      <c r="H92" s="4" t="s">
        <v>213</v>
      </c>
      <c r="I92" s="4" t="s">
        <v>215</v>
      </c>
      <c r="J92" s="6" t="n">
        <f aca="false">E92*F92/1000</f>
        <v>0.8912</v>
      </c>
      <c r="K92" s="16"/>
    </row>
    <row r="93" customFormat="false" ht="15" hidden="false" customHeight="false" outlineLevel="0" collapsed="false">
      <c r="A93" s="4" t="n">
        <v>89</v>
      </c>
      <c r="B93" s="4" t="s">
        <v>211</v>
      </c>
      <c r="C93" s="4" t="s">
        <v>183</v>
      </c>
      <c r="D93" s="4" t="s">
        <v>44</v>
      </c>
      <c r="E93" s="4" t="n">
        <v>1</v>
      </c>
      <c r="F93" s="15" t="n">
        <v>891.2</v>
      </c>
      <c r="G93" s="15"/>
      <c r="H93" s="4"/>
      <c r="I93" s="4" t="s">
        <v>196</v>
      </c>
      <c r="J93" s="6" t="n">
        <f aca="false">E93*F93/1000</f>
        <v>0.8912</v>
      </c>
      <c r="K93" s="16"/>
    </row>
    <row r="94" customFormat="false" ht="15" hidden="false" customHeight="false" outlineLevel="0" collapsed="false">
      <c r="A94" s="4" t="n">
        <v>90</v>
      </c>
      <c r="B94" s="4" t="s">
        <v>211</v>
      </c>
      <c r="C94" s="4" t="s">
        <v>184</v>
      </c>
      <c r="D94" s="4" t="s">
        <v>44</v>
      </c>
      <c r="E94" s="4" t="n">
        <v>1</v>
      </c>
      <c r="F94" s="15" t="n">
        <v>891.2</v>
      </c>
      <c r="G94" s="15"/>
      <c r="H94" s="4"/>
      <c r="I94" s="4" t="s">
        <v>196</v>
      </c>
      <c r="J94" s="6" t="n">
        <f aca="false">E94*F94/1000</f>
        <v>0.8912</v>
      </c>
      <c r="K94" s="16"/>
    </row>
    <row r="95" customFormat="false" ht="15" hidden="false" customHeight="false" outlineLevel="0" collapsed="false">
      <c r="A95" s="4" t="n">
        <v>91</v>
      </c>
      <c r="B95" s="4" t="s">
        <v>211</v>
      </c>
      <c r="C95" s="4" t="s">
        <v>185</v>
      </c>
      <c r="D95" s="4" t="s">
        <v>44</v>
      </c>
      <c r="E95" s="4" t="n">
        <v>1</v>
      </c>
      <c r="F95" s="15" t="n">
        <v>658.4</v>
      </c>
      <c r="G95" s="15"/>
      <c r="H95" s="4"/>
      <c r="I95" s="4" t="s">
        <v>203</v>
      </c>
      <c r="J95" s="6" t="n">
        <f aca="false">E95*F95/1000</f>
        <v>0.6584</v>
      </c>
      <c r="K95" s="16"/>
    </row>
    <row r="96" customFormat="false" ht="15" hidden="false" customHeight="false" outlineLevel="0" collapsed="false">
      <c r="A96" s="4" t="n">
        <v>92</v>
      </c>
      <c r="B96" s="4" t="s">
        <v>211</v>
      </c>
      <c r="C96" s="4" t="s">
        <v>185</v>
      </c>
      <c r="D96" s="4" t="s">
        <v>44</v>
      </c>
      <c r="E96" s="4" t="n">
        <v>1</v>
      </c>
      <c r="F96" s="15" t="n">
        <v>658.4</v>
      </c>
      <c r="G96" s="15"/>
      <c r="H96" s="4" t="s">
        <v>213</v>
      </c>
      <c r="I96" s="4" t="s">
        <v>203</v>
      </c>
      <c r="J96" s="6" t="n">
        <f aca="false">E96*F96/1000</f>
        <v>0.6584</v>
      </c>
      <c r="K96" s="16"/>
    </row>
    <row r="97" customFormat="false" ht="15" hidden="false" customHeight="false" outlineLevel="0" collapsed="false">
      <c r="A97" s="4" t="n">
        <v>93</v>
      </c>
      <c r="B97" s="4" t="s">
        <v>211</v>
      </c>
      <c r="C97" s="4" t="s">
        <v>187</v>
      </c>
      <c r="D97" s="4" t="s">
        <v>44</v>
      </c>
      <c r="E97" s="4" t="n">
        <v>1</v>
      </c>
      <c r="F97" s="15" t="n">
        <v>658.4</v>
      </c>
      <c r="G97" s="15"/>
      <c r="H97" s="4"/>
      <c r="I97" s="4" t="s">
        <v>203</v>
      </c>
      <c r="J97" s="6" t="n">
        <f aca="false">E97*F97/1000</f>
        <v>0.6584</v>
      </c>
      <c r="K97" s="16"/>
    </row>
    <row r="98" customFormat="false" ht="15" hidden="false" customHeight="false" outlineLevel="0" collapsed="false">
      <c r="A98" s="4" t="n">
        <v>94</v>
      </c>
      <c r="B98" s="4" t="s">
        <v>211</v>
      </c>
      <c r="C98" s="4" t="s">
        <v>187</v>
      </c>
      <c r="D98" s="4" t="s">
        <v>44</v>
      </c>
      <c r="E98" s="4" t="n">
        <v>1</v>
      </c>
      <c r="F98" s="15" t="n">
        <v>658.4</v>
      </c>
      <c r="G98" s="15"/>
      <c r="H98" s="4" t="s">
        <v>213</v>
      </c>
      <c r="I98" s="4" t="s">
        <v>203</v>
      </c>
      <c r="J98" s="6" t="n">
        <f aca="false">E98*F98/1000</f>
        <v>0.6584</v>
      </c>
      <c r="K98" s="16"/>
    </row>
    <row r="99" customFormat="false" ht="15" hidden="false" customHeight="false" outlineLevel="0" collapsed="false">
      <c r="A99" s="4" t="n">
        <v>95</v>
      </c>
      <c r="B99" s="4" t="s">
        <v>211</v>
      </c>
      <c r="C99" s="4" t="s">
        <v>216</v>
      </c>
      <c r="D99" s="4" t="s">
        <v>44</v>
      </c>
      <c r="E99" s="4" t="n">
        <v>1</v>
      </c>
      <c r="F99" s="15" t="n">
        <v>840.4</v>
      </c>
      <c r="G99" s="15"/>
      <c r="H99" s="4"/>
      <c r="I99" s="4" t="s">
        <v>191</v>
      </c>
      <c r="J99" s="6" t="n">
        <f aca="false">E99*F99/1000</f>
        <v>0.8404</v>
      </c>
      <c r="K99" s="16"/>
    </row>
    <row r="100" customFormat="false" ht="15" hidden="false" customHeight="false" outlineLevel="0" collapsed="false">
      <c r="A100" s="4" t="n">
        <v>96</v>
      </c>
      <c r="B100" s="4" t="s">
        <v>211</v>
      </c>
      <c r="C100" s="4" t="s">
        <v>217</v>
      </c>
      <c r="D100" s="4" t="s">
        <v>44</v>
      </c>
      <c r="E100" s="4" t="n">
        <v>1</v>
      </c>
      <c r="F100" s="15" t="n">
        <v>760</v>
      </c>
      <c r="G100" s="15"/>
      <c r="H100" s="4"/>
      <c r="I100" s="4" t="s">
        <v>218</v>
      </c>
      <c r="J100" s="6" t="n">
        <f aca="false">E100*F100/1000</f>
        <v>0.76</v>
      </c>
      <c r="K100" s="16"/>
    </row>
    <row r="101" customFormat="false" ht="15" hidden="false" customHeight="false" outlineLevel="0" collapsed="false">
      <c r="A101" s="4" t="n">
        <v>97</v>
      </c>
      <c r="B101" s="4" t="s">
        <v>211</v>
      </c>
      <c r="C101" s="4" t="s">
        <v>217</v>
      </c>
      <c r="D101" s="4" t="s">
        <v>44</v>
      </c>
      <c r="E101" s="4" t="n">
        <v>1</v>
      </c>
      <c r="F101" s="15" t="n">
        <v>760</v>
      </c>
      <c r="G101" s="15"/>
      <c r="H101" s="4" t="s">
        <v>213</v>
      </c>
      <c r="I101" s="4" t="s">
        <v>189</v>
      </c>
      <c r="J101" s="6" t="n">
        <f aca="false">E101*F101/1000</f>
        <v>0.76</v>
      </c>
      <c r="K101" s="16"/>
    </row>
    <row r="102" customFormat="false" ht="15" hidden="false" customHeight="false" outlineLevel="0" collapsed="false">
      <c r="A102" s="4" t="n">
        <v>98</v>
      </c>
      <c r="B102" s="4" t="s">
        <v>219</v>
      </c>
      <c r="C102" s="4" t="s">
        <v>220</v>
      </c>
      <c r="D102" s="4" t="s">
        <v>44</v>
      </c>
      <c r="E102" s="4" t="n">
        <v>10</v>
      </c>
      <c r="F102" s="15" t="n">
        <v>315.8</v>
      </c>
      <c r="G102" s="15"/>
      <c r="H102" s="4"/>
      <c r="I102" s="4" t="s">
        <v>202</v>
      </c>
      <c r="J102" s="6" t="n">
        <f aca="false">E102*F102/1000</f>
        <v>3.158</v>
      </c>
      <c r="K102" s="16"/>
    </row>
    <row r="103" customFormat="false" ht="15" hidden="false" customHeight="false" outlineLevel="0" collapsed="false">
      <c r="A103" s="4" t="n">
        <v>99</v>
      </c>
      <c r="B103" s="4" t="s">
        <v>219</v>
      </c>
      <c r="C103" s="4" t="s">
        <v>221</v>
      </c>
      <c r="D103" s="4" t="s">
        <v>44</v>
      </c>
      <c r="E103" s="4" t="n">
        <v>3</v>
      </c>
      <c r="F103" s="15" t="n">
        <v>2286</v>
      </c>
      <c r="G103" s="15"/>
      <c r="H103" s="4"/>
      <c r="I103" s="4" t="s">
        <v>222</v>
      </c>
      <c r="J103" s="6" t="n">
        <f aca="false">E103*F103/1000</f>
        <v>6.858</v>
      </c>
      <c r="K103" s="16"/>
    </row>
    <row r="104" customFormat="false" ht="15" hidden="false" customHeight="false" outlineLevel="0" collapsed="false">
      <c r="A104" s="4" t="n">
        <v>100</v>
      </c>
      <c r="B104" s="4" t="s">
        <v>219</v>
      </c>
      <c r="C104" s="4" t="s">
        <v>223</v>
      </c>
      <c r="D104" s="4" t="s">
        <v>44</v>
      </c>
      <c r="E104" s="4" t="n">
        <v>1</v>
      </c>
      <c r="F104" s="15" t="n">
        <v>2286</v>
      </c>
      <c r="G104" s="15"/>
      <c r="H104" s="4"/>
      <c r="I104" s="4" t="s">
        <v>214</v>
      </c>
      <c r="J104" s="6" t="n">
        <f aca="false">E104*F104/1000</f>
        <v>2.286</v>
      </c>
      <c r="K104" s="16"/>
    </row>
    <row r="105" customFormat="false" ht="15" hidden="false" customHeight="false" outlineLevel="0" collapsed="false">
      <c r="A105" s="4" t="n">
        <v>101</v>
      </c>
      <c r="B105" s="4" t="s">
        <v>219</v>
      </c>
      <c r="C105" s="4" t="s">
        <v>224</v>
      </c>
      <c r="D105" s="4" t="s">
        <v>44</v>
      </c>
      <c r="E105" s="4" t="n">
        <v>10</v>
      </c>
      <c r="F105" s="15" t="n">
        <v>315.8</v>
      </c>
      <c r="G105" s="15"/>
      <c r="H105" s="4"/>
      <c r="I105" s="4" t="s">
        <v>190</v>
      </c>
      <c r="J105" s="6" t="n">
        <f aca="false">E105*F105/1000</f>
        <v>3.158</v>
      </c>
      <c r="K105" s="16"/>
    </row>
    <row r="106" customFormat="false" ht="15" hidden="false" customHeight="false" outlineLevel="0" collapsed="false">
      <c r="A106" s="4" t="n">
        <v>102</v>
      </c>
      <c r="B106" s="4" t="s">
        <v>219</v>
      </c>
      <c r="C106" s="4" t="s">
        <v>225</v>
      </c>
      <c r="D106" s="4" t="s">
        <v>44</v>
      </c>
      <c r="E106" s="4" t="n">
        <v>3</v>
      </c>
      <c r="F106" s="15" t="n">
        <v>2286</v>
      </c>
      <c r="G106" s="15"/>
      <c r="H106" s="4"/>
      <c r="I106" s="4" t="s">
        <v>226</v>
      </c>
      <c r="J106" s="6" t="n">
        <f aca="false">E106*F106/1000</f>
        <v>6.858</v>
      </c>
      <c r="K106" s="16"/>
    </row>
    <row r="107" customFormat="false" ht="15" hidden="false" customHeight="false" outlineLevel="0" collapsed="false">
      <c r="A107" s="4" t="n">
        <v>103</v>
      </c>
      <c r="B107" s="4" t="s">
        <v>227</v>
      </c>
      <c r="C107" s="4" t="s">
        <v>228</v>
      </c>
      <c r="D107" s="4" t="s">
        <v>44</v>
      </c>
      <c r="E107" s="4" t="n">
        <v>1</v>
      </c>
      <c r="F107" s="15" t="n">
        <v>1038.8</v>
      </c>
      <c r="G107" s="15"/>
      <c r="H107" s="4"/>
      <c r="I107" s="4" t="s">
        <v>218</v>
      </c>
      <c r="J107" s="6" t="n">
        <f aca="false">E107*F107/1000</f>
        <v>1.0388</v>
      </c>
      <c r="K107" s="16"/>
    </row>
    <row r="108" customFormat="false" ht="15" hidden="false" customHeight="false" outlineLevel="0" collapsed="false">
      <c r="A108" s="4" t="n">
        <v>104</v>
      </c>
      <c r="B108" s="4" t="s">
        <v>227</v>
      </c>
      <c r="C108" s="4" t="s">
        <v>229</v>
      </c>
      <c r="D108" s="4" t="s">
        <v>44</v>
      </c>
      <c r="E108" s="4" t="n">
        <v>1</v>
      </c>
      <c r="F108" s="15" t="n">
        <v>1919.4</v>
      </c>
      <c r="G108" s="15"/>
      <c r="H108" s="4"/>
      <c r="I108" s="4" t="s">
        <v>174</v>
      </c>
      <c r="J108" s="6" t="n">
        <f aca="false">E108*F108/1000</f>
        <v>1.9194</v>
      </c>
      <c r="K108" s="16"/>
    </row>
    <row r="109" customFormat="false" ht="15" hidden="false" customHeight="false" outlineLevel="0" collapsed="false">
      <c r="A109" s="4" t="n">
        <v>105</v>
      </c>
      <c r="B109" s="4" t="s">
        <v>227</v>
      </c>
      <c r="C109" s="4" t="s">
        <v>230</v>
      </c>
      <c r="D109" s="4" t="s">
        <v>44</v>
      </c>
      <c r="E109" s="4" t="n">
        <v>1</v>
      </c>
      <c r="F109" s="15" t="n">
        <v>648.6</v>
      </c>
      <c r="G109" s="15"/>
      <c r="H109" s="4"/>
      <c r="I109" s="4" t="s">
        <v>203</v>
      </c>
      <c r="J109" s="6" t="n">
        <f aca="false">E109*F109/1000</f>
        <v>0.6486</v>
      </c>
      <c r="K109" s="16"/>
    </row>
    <row r="110" customFormat="false" ht="15" hidden="false" customHeight="false" outlineLevel="0" collapsed="false">
      <c r="A110" s="4" t="n">
        <v>106</v>
      </c>
      <c r="B110" s="4" t="s">
        <v>102</v>
      </c>
      <c r="C110" s="4" t="s">
        <v>231</v>
      </c>
      <c r="D110" s="4" t="s">
        <v>44</v>
      </c>
      <c r="E110" s="4" t="n">
        <v>3</v>
      </c>
      <c r="F110" s="15" t="n">
        <v>558.8</v>
      </c>
      <c r="G110" s="15"/>
      <c r="H110" s="4"/>
      <c r="I110" s="4" t="s">
        <v>232</v>
      </c>
      <c r="J110" s="6" t="n">
        <f aca="false">E110*F110/1000</f>
        <v>1.6764</v>
      </c>
      <c r="K110" s="16"/>
    </row>
    <row r="111" customFormat="false" ht="15" hidden="false" customHeight="false" outlineLevel="0" collapsed="false">
      <c r="A111" s="4" t="n">
        <v>107</v>
      </c>
      <c r="B111" s="4" t="s">
        <v>102</v>
      </c>
      <c r="C111" s="4" t="s">
        <v>233</v>
      </c>
      <c r="D111" s="4" t="s">
        <v>44</v>
      </c>
      <c r="E111" s="4" t="n">
        <v>1</v>
      </c>
      <c r="F111" s="15" t="n">
        <v>609.6</v>
      </c>
      <c r="G111" s="15"/>
      <c r="H111" s="4"/>
      <c r="I111" s="4" t="s">
        <v>207</v>
      </c>
      <c r="J111" s="6" t="n">
        <f aca="false">E111*F111/1000</f>
        <v>0.6096</v>
      </c>
      <c r="K111" s="16"/>
    </row>
    <row r="112" customFormat="false" ht="15" hidden="false" customHeight="false" outlineLevel="0" collapsed="false">
      <c r="A112" s="4" t="n">
        <v>108</v>
      </c>
      <c r="B112" s="4" t="s">
        <v>102</v>
      </c>
      <c r="C112" s="4" t="s">
        <v>234</v>
      </c>
      <c r="D112" s="4" t="s">
        <v>44</v>
      </c>
      <c r="E112" s="4" t="n">
        <v>1</v>
      </c>
      <c r="F112" s="15" t="n">
        <v>609.6</v>
      </c>
      <c r="G112" s="15"/>
      <c r="H112" s="4"/>
      <c r="I112" s="4" t="s">
        <v>207</v>
      </c>
      <c r="J112" s="6" t="n">
        <f aca="false">E112*F112/1000</f>
        <v>0.6096</v>
      </c>
      <c r="K112" s="16"/>
    </row>
    <row r="113" customFormat="false" ht="15" hidden="false" customHeight="false" outlineLevel="0" collapsed="false">
      <c r="A113" s="4" t="n">
        <v>109</v>
      </c>
      <c r="B113" s="4" t="s">
        <v>235</v>
      </c>
      <c r="C113" s="4" t="s">
        <v>177</v>
      </c>
      <c r="D113" s="4" t="s">
        <v>44</v>
      </c>
      <c r="E113" s="4" t="n">
        <v>2</v>
      </c>
      <c r="F113" s="15" t="n">
        <v>906</v>
      </c>
      <c r="G113" s="15"/>
      <c r="H113" s="4"/>
      <c r="I113" s="4" t="s">
        <v>236</v>
      </c>
      <c r="J113" s="6" t="n">
        <f aca="false">E113*F113/1000</f>
        <v>1.812</v>
      </c>
      <c r="K113" s="16"/>
    </row>
    <row r="114" customFormat="false" ht="15" hidden="false" customHeight="false" outlineLevel="0" collapsed="false">
      <c r="A114" s="4" t="n">
        <v>110</v>
      </c>
      <c r="B114" s="4" t="s">
        <v>235</v>
      </c>
      <c r="C114" s="4" t="s">
        <v>179</v>
      </c>
      <c r="D114" s="4" t="s">
        <v>44</v>
      </c>
      <c r="E114" s="4" t="n">
        <v>2</v>
      </c>
      <c r="F114" s="15" t="n">
        <v>906</v>
      </c>
      <c r="G114" s="15"/>
      <c r="H114" s="4"/>
      <c r="I114" s="4" t="s">
        <v>174</v>
      </c>
      <c r="J114" s="6" t="n">
        <f aca="false">E114*F114/1000</f>
        <v>1.812</v>
      </c>
      <c r="K114" s="16"/>
    </row>
    <row r="115" customFormat="false" ht="15" hidden="false" customHeight="false" outlineLevel="0" collapsed="false">
      <c r="A115" s="4" t="n">
        <v>111</v>
      </c>
      <c r="B115" s="4" t="s">
        <v>235</v>
      </c>
      <c r="C115" s="4" t="s">
        <v>180</v>
      </c>
      <c r="D115" s="4" t="s">
        <v>44</v>
      </c>
      <c r="E115" s="4" t="n">
        <v>1</v>
      </c>
      <c r="F115" s="15" t="n">
        <v>341.2</v>
      </c>
      <c r="G115" s="15"/>
      <c r="H115" s="4"/>
      <c r="I115" s="4" t="s">
        <v>181</v>
      </c>
      <c r="J115" s="6" t="n">
        <f aca="false">E115*F115/1000</f>
        <v>0.3412</v>
      </c>
      <c r="K115" s="16"/>
    </row>
    <row r="116" customFormat="false" ht="15" hidden="false" customHeight="false" outlineLevel="0" collapsed="false">
      <c r="A116" s="4" t="n">
        <v>112</v>
      </c>
      <c r="B116" s="4" t="s">
        <v>235</v>
      </c>
      <c r="C116" s="4" t="s">
        <v>182</v>
      </c>
      <c r="D116" s="4" t="s">
        <v>44</v>
      </c>
      <c r="E116" s="4" t="n">
        <v>1</v>
      </c>
      <c r="F116" s="15" t="n">
        <v>341.2</v>
      </c>
      <c r="G116" s="15"/>
      <c r="H116" s="4"/>
      <c r="I116" s="4" t="s">
        <v>202</v>
      </c>
      <c r="J116" s="6" t="n">
        <f aca="false">E116*F116/1000</f>
        <v>0.3412</v>
      </c>
      <c r="K116" s="16"/>
    </row>
    <row r="117" customFormat="false" ht="15" hidden="false" customHeight="false" outlineLevel="0" collapsed="false">
      <c r="A117" s="4" t="n">
        <v>113</v>
      </c>
      <c r="B117" s="4" t="s">
        <v>235</v>
      </c>
      <c r="C117" s="4" t="s">
        <v>183</v>
      </c>
      <c r="D117" s="4" t="s">
        <v>44</v>
      </c>
      <c r="E117" s="4" t="n">
        <v>1</v>
      </c>
      <c r="F117" s="15" t="n">
        <v>341.2</v>
      </c>
      <c r="G117" s="15"/>
      <c r="H117" s="4"/>
      <c r="I117" s="4" t="s">
        <v>202</v>
      </c>
      <c r="J117" s="6" t="n">
        <f aca="false">E117*F117/1000</f>
        <v>0.3412</v>
      </c>
      <c r="K117" s="16"/>
    </row>
    <row r="118" customFormat="false" ht="15" hidden="false" customHeight="false" outlineLevel="0" collapsed="false">
      <c r="A118" s="4" t="n">
        <v>114</v>
      </c>
      <c r="B118" s="4" t="s">
        <v>235</v>
      </c>
      <c r="C118" s="4" t="s">
        <v>184</v>
      </c>
      <c r="D118" s="4" t="s">
        <v>44</v>
      </c>
      <c r="E118" s="4" t="n">
        <v>1</v>
      </c>
      <c r="F118" s="15" t="n">
        <v>341.2</v>
      </c>
      <c r="G118" s="15"/>
      <c r="H118" s="4"/>
      <c r="I118" s="4" t="s">
        <v>202</v>
      </c>
      <c r="J118" s="6" t="n">
        <f aca="false">E118*F118/1000</f>
        <v>0.3412</v>
      </c>
      <c r="K118" s="16"/>
    </row>
    <row r="119" customFormat="false" ht="15" hidden="false" customHeight="false" outlineLevel="0" collapsed="false">
      <c r="A119" s="4" t="n">
        <v>115</v>
      </c>
      <c r="B119" s="4" t="s">
        <v>235</v>
      </c>
      <c r="C119" s="4" t="s">
        <v>185</v>
      </c>
      <c r="D119" s="4" t="s">
        <v>44</v>
      </c>
      <c r="E119" s="4" t="n">
        <v>2</v>
      </c>
      <c r="F119" s="15" t="n">
        <v>204.4</v>
      </c>
      <c r="G119" s="15"/>
      <c r="H119" s="4"/>
      <c r="I119" s="4" t="s">
        <v>237</v>
      </c>
      <c r="J119" s="6" t="n">
        <f aca="false">E119*F119/1000</f>
        <v>0.4088</v>
      </c>
      <c r="K119" s="16"/>
    </row>
    <row r="120" customFormat="false" ht="15" hidden="false" customHeight="false" outlineLevel="0" collapsed="false">
      <c r="A120" s="4" t="n">
        <v>116</v>
      </c>
      <c r="B120" s="4" t="s">
        <v>235</v>
      </c>
      <c r="C120" s="4" t="s">
        <v>187</v>
      </c>
      <c r="D120" s="4" t="s">
        <v>44</v>
      </c>
      <c r="E120" s="4" t="n">
        <v>2</v>
      </c>
      <c r="F120" s="15" t="n">
        <v>204.4</v>
      </c>
      <c r="G120" s="15"/>
      <c r="H120" s="4"/>
      <c r="I120" s="4" t="s">
        <v>238</v>
      </c>
      <c r="J120" s="6" t="n">
        <f aca="false">E120*F120/1000</f>
        <v>0.4088</v>
      </c>
      <c r="K120" s="16"/>
    </row>
    <row r="121" customFormat="false" ht="15" hidden="false" customHeight="false" outlineLevel="0" collapsed="false">
      <c r="A121" s="4" t="n">
        <v>117</v>
      </c>
      <c r="B121" s="4" t="s">
        <v>235</v>
      </c>
      <c r="C121" s="4" t="s">
        <v>217</v>
      </c>
      <c r="D121" s="4" t="s">
        <v>44</v>
      </c>
      <c r="E121" s="4" t="n">
        <v>4</v>
      </c>
      <c r="F121" s="15" t="n">
        <v>306</v>
      </c>
      <c r="G121" s="15"/>
      <c r="H121" s="4"/>
      <c r="I121" s="4" t="s">
        <v>239</v>
      </c>
      <c r="J121" s="6" t="n">
        <f aca="false">E121*F121/1000</f>
        <v>1.224</v>
      </c>
      <c r="K121" s="16"/>
    </row>
    <row r="122" customFormat="false" ht="15" hidden="false" customHeight="false" outlineLevel="0" collapsed="false">
      <c r="A122" s="4" t="n">
        <v>118</v>
      </c>
      <c r="B122" s="4" t="s">
        <v>105</v>
      </c>
      <c r="C122" s="4" t="s">
        <v>177</v>
      </c>
      <c r="D122" s="4" t="s">
        <v>44</v>
      </c>
      <c r="E122" s="4" t="n">
        <v>2</v>
      </c>
      <c r="F122" s="15" t="n">
        <v>664</v>
      </c>
      <c r="G122" s="15"/>
      <c r="H122" s="4"/>
      <c r="I122" s="4" t="s">
        <v>203</v>
      </c>
      <c r="J122" s="6" t="n">
        <f aca="false">E122*F122/1000</f>
        <v>1.328</v>
      </c>
      <c r="K122" s="16"/>
    </row>
    <row r="123" customFormat="false" ht="15" hidden="false" customHeight="false" outlineLevel="0" collapsed="false">
      <c r="A123" s="4" t="n">
        <v>119</v>
      </c>
      <c r="B123" s="4" t="s">
        <v>105</v>
      </c>
      <c r="C123" s="4" t="s">
        <v>179</v>
      </c>
      <c r="D123" s="4" t="s">
        <v>44</v>
      </c>
      <c r="E123" s="4" t="n">
        <v>2</v>
      </c>
      <c r="F123" s="15" t="n">
        <v>664</v>
      </c>
      <c r="G123" s="15"/>
      <c r="H123" s="4"/>
      <c r="I123" s="4" t="s">
        <v>203</v>
      </c>
      <c r="J123" s="6" t="n">
        <f aca="false">E123*F123/1000</f>
        <v>1.328</v>
      </c>
      <c r="K123" s="16"/>
    </row>
    <row r="124" customFormat="false" ht="15" hidden="false" customHeight="false" outlineLevel="0" collapsed="false">
      <c r="A124" s="4" t="n">
        <v>120</v>
      </c>
      <c r="B124" s="4" t="s">
        <v>105</v>
      </c>
      <c r="C124" s="4" t="s">
        <v>182</v>
      </c>
      <c r="D124" s="4" t="s">
        <v>44</v>
      </c>
      <c r="E124" s="4" t="n">
        <v>1</v>
      </c>
      <c r="F124" s="15" t="n">
        <v>561.2</v>
      </c>
      <c r="G124" s="15"/>
      <c r="H124" s="4"/>
      <c r="I124" s="4" t="s">
        <v>191</v>
      </c>
      <c r="J124" s="6" t="n">
        <f aca="false">E124*F124/1000</f>
        <v>0.5612</v>
      </c>
      <c r="K124" s="16"/>
    </row>
    <row r="125" customFormat="false" ht="15" hidden="false" customHeight="false" outlineLevel="0" collapsed="false">
      <c r="A125" s="4" t="n">
        <v>121</v>
      </c>
      <c r="B125" s="4" t="s">
        <v>105</v>
      </c>
      <c r="C125" s="4" t="s">
        <v>184</v>
      </c>
      <c r="D125" s="4" t="s">
        <v>44</v>
      </c>
      <c r="E125" s="4" t="n">
        <v>1</v>
      </c>
      <c r="F125" s="15" t="n">
        <v>561.2</v>
      </c>
      <c r="G125" s="15"/>
      <c r="H125" s="4"/>
      <c r="I125" s="4" t="s">
        <v>232</v>
      </c>
      <c r="J125" s="6" t="n">
        <f aca="false">E125*F125/1000</f>
        <v>0.5612</v>
      </c>
      <c r="K125" s="16"/>
    </row>
    <row r="126" customFormat="false" ht="15" hidden="false" customHeight="false" outlineLevel="0" collapsed="false">
      <c r="A126" s="4" t="n">
        <v>122</v>
      </c>
      <c r="B126" s="4" t="s">
        <v>105</v>
      </c>
      <c r="C126" s="4" t="s">
        <v>185</v>
      </c>
      <c r="D126" s="4" t="s">
        <v>44</v>
      </c>
      <c r="E126" s="4" t="n">
        <v>2</v>
      </c>
      <c r="F126" s="15" t="n">
        <v>204.4</v>
      </c>
      <c r="G126" s="15"/>
      <c r="H126" s="4"/>
      <c r="I126" s="4" t="s">
        <v>166</v>
      </c>
      <c r="J126" s="6" t="n">
        <f aca="false">E126*F126/1000</f>
        <v>0.4088</v>
      </c>
      <c r="K126" s="16"/>
    </row>
    <row r="127" customFormat="false" ht="15" hidden="false" customHeight="false" outlineLevel="0" collapsed="false">
      <c r="A127" s="4" t="n">
        <v>123</v>
      </c>
      <c r="B127" s="4" t="s">
        <v>105</v>
      </c>
      <c r="C127" s="4" t="s">
        <v>187</v>
      </c>
      <c r="D127" s="4" t="s">
        <v>44</v>
      </c>
      <c r="E127" s="4" t="n">
        <v>2</v>
      </c>
      <c r="F127" s="15" t="n">
        <v>204.4</v>
      </c>
      <c r="G127" s="15"/>
      <c r="H127" s="4"/>
      <c r="I127" s="4" t="s">
        <v>166</v>
      </c>
      <c r="J127" s="6" t="n">
        <f aca="false">E127*F127/1000</f>
        <v>0.4088</v>
      </c>
      <c r="K127" s="16"/>
    </row>
    <row r="128" customFormat="false" ht="15" hidden="false" customHeight="false" outlineLevel="0" collapsed="false">
      <c r="A128" s="4" t="n">
        <v>124</v>
      </c>
      <c r="B128" s="4" t="s">
        <v>105</v>
      </c>
      <c r="C128" s="4" t="s">
        <v>217</v>
      </c>
      <c r="D128" s="4" t="s">
        <v>44</v>
      </c>
      <c r="E128" s="4" t="n">
        <v>4</v>
      </c>
      <c r="F128" s="15" t="n">
        <v>306</v>
      </c>
      <c r="G128" s="15"/>
      <c r="H128" s="4"/>
      <c r="I128" s="4" t="s">
        <v>164</v>
      </c>
      <c r="J128" s="6" t="n">
        <f aca="false">E128*F128/1000</f>
        <v>1.224</v>
      </c>
      <c r="K128" s="16"/>
    </row>
    <row r="129" customFormat="false" ht="15" hidden="false" customHeight="false" outlineLevel="0" collapsed="false">
      <c r="A129" s="4" t="n">
        <v>125</v>
      </c>
      <c r="B129" s="4" t="s">
        <v>240</v>
      </c>
      <c r="C129" s="4" t="s">
        <v>212</v>
      </c>
      <c r="D129" s="4" t="s">
        <v>44</v>
      </c>
      <c r="E129" s="4" t="n">
        <v>1</v>
      </c>
      <c r="F129" s="15" t="n">
        <v>906</v>
      </c>
      <c r="G129" s="15"/>
      <c r="H129" s="4"/>
      <c r="I129" s="4" t="s">
        <v>241</v>
      </c>
      <c r="J129" s="6" t="n">
        <f aca="false">E129*F129/1000</f>
        <v>0.906</v>
      </c>
      <c r="K129" s="16"/>
    </row>
    <row r="130" customFormat="false" ht="15" hidden="false" customHeight="false" outlineLevel="0" collapsed="false">
      <c r="A130" s="4" t="n">
        <v>126</v>
      </c>
      <c r="B130" s="4" t="s">
        <v>240</v>
      </c>
      <c r="C130" s="4" t="s">
        <v>177</v>
      </c>
      <c r="D130" s="4" t="s">
        <v>44</v>
      </c>
      <c r="E130" s="4" t="n">
        <v>1</v>
      </c>
      <c r="F130" s="15" t="n">
        <v>906</v>
      </c>
      <c r="G130" s="15"/>
      <c r="H130" s="4"/>
      <c r="I130" s="4" t="s">
        <v>241</v>
      </c>
      <c r="J130" s="6" t="n">
        <f aca="false">E130*F130/1000</f>
        <v>0.906</v>
      </c>
      <c r="K130" s="16"/>
    </row>
    <row r="131" customFormat="false" ht="15" hidden="false" customHeight="false" outlineLevel="0" collapsed="false">
      <c r="A131" s="4" t="n">
        <v>127</v>
      </c>
      <c r="B131" s="4" t="s">
        <v>240</v>
      </c>
      <c r="C131" s="4" t="s">
        <v>179</v>
      </c>
      <c r="D131" s="4" t="s">
        <v>44</v>
      </c>
      <c r="E131" s="4" t="n">
        <v>2</v>
      </c>
      <c r="F131" s="15" t="n">
        <v>906</v>
      </c>
      <c r="G131" s="15"/>
      <c r="H131" s="4"/>
      <c r="I131" s="4" t="s">
        <v>241</v>
      </c>
      <c r="J131" s="6" t="n">
        <f aca="false">E131*F131/1000</f>
        <v>1.812</v>
      </c>
      <c r="K131" s="16"/>
    </row>
    <row r="132" customFormat="false" ht="15" hidden="false" customHeight="false" outlineLevel="0" collapsed="false">
      <c r="A132" s="4" t="n">
        <v>128</v>
      </c>
      <c r="B132" s="4" t="s">
        <v>240</v>
      </c>
      <c r="C132" s="4" t="s">
        <v>180</v>
      </c>
      <c r="D132" s="4" t="s">
        <v>44</v>
      </c>
      <c r="E132" s="4" t="n">
        <v>1</v>
      </c>
      <c r="F132" s="15" t="n">
        <v>589.8</v>
      </c>
      <c r="G132" s="15"/>
      <c r="H132" s="4" t="s">
        <v>213</v>
      </c>
      <c r="I132" s="4" t="s">
        <v>207</v>
      </c>
      <c r="J132" s="6" t="n">
        <f aca="false">E132*F132/1000</f>
        <v>0.5898</v>
      </c>
      <c r="K132" s="16"/>
    </row>
    <row r="133" customFormat="false" ht="15" hidden="false" customHeight="false" outlineLevel="0" collapsed="false">
      <c r="A133" s="4" t="n">
        <v>129</v>
      </c>
      <c r="B133" s="4" t="s">
        <v>240</v>
      </c>
      <c r="C133" s="4" t="s">
        <v>182</v>
      </c>
      <c r="D133" s="4" t="s">
        <v>44</v>
      </c>
      <c r="E133" s="4" t="n">
        <v>1</v>
      </c>
      <c r="F133" s="15" t="n">
        <v>589.8</v>
      </c>
      <c r="G133" s="15"/>
      <c r="H133" s="4" t="s">
        <v>213</v>
      </c>
      <c r="I133" s="4" t="s">
        <v>207</v>
      </c>
      <c r="J133" s="6" t="n">
        <f aca="false">E133*F133/1000</f>
        <v>0.5898</v>
      </c>
      <c r="K133" s="16"/>
    </row>
    <row r="134" customFormat="false" ht="15" hidden="false" customHeight="false" outlineLevel="0" collapsed="false">
      <c r="A134" s="4" t="n">
        <v>130</v>
      </c>
      <c r="B134" s="4" t="s">
        <v>240</v>
      </c>
      <c r="C134" s="4" t="s">
        <v>183</v>
      </c>
      <c r="D134" s="4" t="s">
        <v>44</v>
      </c>
      <c r="E134" s="4" t="n">
        <v>1</v>
      </c>
      <c r="F134" s="15" t="n">
        <v>589.8</v>
      </c>
      <c r="G134" s="15"/>
      <c r="H134" s="4"/>
      <c r="I134" s="4" t="s">
        <v>207</v>
      </c>
      <c r="J134" s="6" t="n">
        <f aca="false">E134*F134/1000</f>
        <v>0.5898</v>
      </c>
      <c r="K134" s="16"/>
    </row>
    <row r="135" customFormat="false" ht="15" hidden="false" customHeight="false" outlineLevel="0" collapsed="false">
      <c r="A135" s="4" t="n">
        <v>131</v>
      </c>
      <c r="B135" s="4" t="s">
        <v>240</v>
      </c>
      <c r="C135" s="4" t="s">
        <v>184</v>
      </c>
      <c r="D135" s="4" t="s">
        <v>44</v>
      </c>
      <c r="E135" s="4" t="n">
        <v>1</v>
      </c>
      <c r="F135" s="15" t="n">
        <v>589.8</v>
      </c>
      <c r="G135" s="15"/>
      <c r="H135" s="4"/>
      <c r="I135" s="4" t="s">
        <v>207</v>
      </c>
      <c r="J135" s="6" t="n">
        <f aca="false">E135*F135/1000</f>
        <v>0.5898</v>
      </c>
      <c r="K135" s="16"/>
    </row>
    <row r="136" customFormat="false" ht="15" hidden="false" customHeight="false" outlineLevel="0" collapsed="false">
      <c r="A136" s="4" t="n">
        <v>132</v>
      </c>
      <c r="B136" s="4" t="s">
        <v>240</v>
      </c>
      <c r="C136" s="4" t="s">
        <v>185</v>
      </c>
      <c r="D136" s="4" t="s">
        <v>44</v>
      </c>
      <c r="E136" s="4" t="n">
        <v>1</v>
      </c>
      <c r="F136" s="15" t="n">
        <v>204.4</v>
      </c>
      <c r="G136" s="15"/>
      <c r="H136" s="4"/>
      <c r="I136" s="4" t="s">
        <v>166</v>
      </c>
      <c r="J136" s="6" t="n">
        <f aca="false">E136*F136/1000</f>
        <v>0.2044</v>
      </c>
      <c r="K136" s="16"/>
    </row>
    <row r="137" customFormat="false" ht="15" hidden="false" customHeight="false" outlineLevel="0" collapsed="false">
      <c r="A137" s="4" t="n">
        <v>133</v>
      </c>
      <c r="B137" s="4" t="s">
        <v>240</v>
      </c>
      <c r="C137" s="4" t="s">
        <v>185</v>
      </c>
      <c r="D137" s="4" t="s">
        <v>44</v>
      </c>
      <c r="E137" s="4" t="n">
        <v>1</v>
      </c>
      <c r="F137" s="15" t="n">
        <v>204.4</v>
      </c>
      <c r="G137" s="15"/>
      <c r="H137" s="4" t="s">
        <v>213</v>
      </c>
      <c r="I137" s="4" t="s">
        <v>166</v>
      </c>
      <c r="J137" s="6" t="n">
        <f aca="false">E137*F137/1000</f>
        <v>0.2044</v>
      </c>
      <c r="K137" s="16"/>
    </row>
    <row r="138" customFormat="false" ht="15" hidden="false" customHeight="false" outlineLevel="0" collapsed="false">
      <c r="A138" s="4" t="n">
        <v>134</v>
      </c>
      <c r="B138" s="4" t="s">
        <v>240</v>
      </c>
      <c r="C138" s="4" t="s">
        <v>187</v>
      </c>
      <c r="D138" s="4" t="s">
        <v>44</v>
      </c>
      <c r="E138" s="4" t="n">
        <v>1</v>
      </c>
      <c r="F138" s="15" t="n">
        <v>204.4</v>
      </c>
      <c r="G138" s="15"/>
      <c r="H138" s="4"/>
      <c r="I138" s="4" t="s">
        <v>166</v>
      </c>
      <c r="J138" s="6" t="n">
        <f aca="false">E138*F138/1000</f>
        <v>0.2044</v>
      </c>
      <c r="K138" s="16"/>
    </row>
    <row r="139" customFormat="false" ht="15" hidden="false" customHeight="false" outlineLevel="0" collapsed="false">
      <c r="A139" s="4" t="n">
        <v>135</v>
      </c>
      <c r="B139" s="4" t="s">
        <v>240</v>
      </c>
      <c r="C139" s="4" t="s">
        <v>187</v>
      </c>
      <c r="D139" s="4" t="s">
        <v>44</v>
      </c>
      <c r="E139" s="4" t="n">
        <v>1</v>
      </c>
      <c r="F139" s="15" t="n">
        <v>204.4</v>
      </c>
      <c r="G139" s="15"/>
      <c r="H139" s="4" t="s">
        <v>213</v>
      </c>
      <c r="I139" s="4" t="s">
        <v>166</v>
      </c>
      <c r="J139" s="6" t="n">
        <f aca="false">E139*F139/1000</f>
        <v>0.2044</v>
      </c>
      <c r="K139" s="16"/>
    </row>
    <row r="140" customFormat="false" ht="15" hidden="false" customHeight="false" outlineLevel="0" collapsed="false">
      <c r="A140" s="4" t="n">
        <v>136</v>
      </c>
      <c r="B140" s="4" t="s">
        <v>240</v>
      </c>
      <c r="C140" s="4" t="s">
        <v>217</v>
      </c>
      <c r="D140" s="4" t="s">
        <v>44</v>
      </c>
      <c r="E140" s="4" t="n">
        <v>2</v>
      </c>
      <c r="F140" s="15" t="n">
        <v>306</v>
      </c>
      <c r="G140" s="15"/>
      <c r="H140" s="4"/>
      <c r="I140" s="4" t="s">
        <v>164</v>
      </c>
      <c r="J140" s="6" t="n">
        <f aca="false">E140*F140/1000</f>
        <v>0.612</v>
      </c>
      <c r="K140" s="16"/>
    </row>
    <row r="141" customFormat="false" ht="15" hidden="false" customHeight="false" outlineLevel="0" collapsed="false">
      <c r="A141" s="4" t="n">
        <v>137</v>
      </c>
      <c r="B141" s="4" t="s">
        <v>240</v>
      </c>
      <c r="C141" s="4" t="s">
        <v>217</v>
      </c>
      <c r="D141" s="4" t="s">
        <v>44</v>
      </c>
      <c r="E141" s="4" t="n">
        <v>2</v>
      </c>
      <c r="F141" s="15" t="n">
        <v>306</v>
      </c>
      <c r="G141" s="15"/>
      <c r="H141" s="4" t="s">
        <v>213</v>
      </c>
      <c r="I141" s="4" t="s">
        <v>164</v>
      </c>
      <c r="J141" s="6" t="n">
        <f aca="false">E141*F141/1000</f>
        <v>0.612</v>
      </c>
      <c r="K141" s="16"/>
    </row>
    <row r="142" customFormat="false" ht="15" hidden="false" customHeight="false" outlineLevel="0" collapsed="false">
      <c r="A142" s="4" t="n">
        <v>138</v>
      </c>
      <c r="B142" s="4" t="s">
        <v>114</v>
      </c>
      <c r="C142" s="4" t="s">
        <v>177</v>
      </c>
      <c r="D142" s="4" t="s">
        <v>44</v>
      </c>
      <c r="E142" s="4" t="n">
        <v>2</v>
      </c>
      <c r="F142" s="15" t="n">
        <v>906</v>
      </c>
      <c r="G142" s="15"/>
      <c r="H142" s="4"/>
      <c r="I142" s="4" t="s">
        <v>241</v>
      </c>
      <c r="J142" s="6" t="n">
        <f aca="false">E142*F142/1000</f>
        <v>1.812</v>
      </c>
      <c r="K142" s="16"/>
    </row>
    <row r="143" customFormat="false" ht="15" hidden="false" customHeight="false" outlineLevel="0" collapsed="false">
      <c r="A143" s="4" t="n">
        <v>139</v>
      </c>
      <c r="B143" s="4" t="s">
        <v>114</v>
      </c>
      <c r="C143" s="4" t="s">
        <v>179</v>
      </c>
      <c r="D143" s="4" t="s">
        <v>44</v>
      </c>
      <c r="E143" s="4" t="n">
        <v>2</v>
      </c>
      <c r="F143" s="15" t="n">
        <v>906</v>
      </c>
      <c r="G143" s="15"/>
      <c r="H143" s="4"/>
      <c r="I143" s="4" t="s">
        <v>242</v>
      </c>
      <c r="J143" s="6" t="n">
        <f aca="false">E143*F143/1000</f>
        <v>1.812</v>
      </c>
      <c r="K143" s="16"/>
    </row>
    <row r="144" customFormat="false" ht="15" hidden="false" customHeight="false" outlineLevel="0" collapsed="false">
      <c r="A144" s="4" t="n">
        <v>140</v>
      </c>
      <c r="B144" s="4" t="s">
        <v>114</v>
      </c>
      <c r="C144" s="4" t="s">
        <v>180</v>
      </c>
      <c r="D144" s="4" t="s">
        <v>44</v>
      </c>
      <c r="E144" s="4" t="n">
        <v>1</v>
      </c>
      <c r="F144" s="15" t="n">
        <v>811.2</v>
      </c>
      <c r="G144" s="15"/>
      <c r="H144" s="4"/>
      <c r="I144" s="4" t="s">
        <v>178</v>
      </c>
      <c r="J144" s="6" t="n">
        <f aca="false">E144*F144/1000</f>
        <v>0.8112</v>
      </c>
      <c r="K144" s="16"/>
    </row>
    <row r="145" customFormat="false" ht="15" hidden="false" customHeight="false" outlineLevel="0" collapsed="false">
      <c r="A145" s="4" t="n">
        <v>141</v>
      </c>
      <c r="B145" s="4" t="s">
        <v>114</v>
      </c>
      <c r="C145" s="4" t="s">
        <v>182</v>
      </c>
      <c r="D145" s="4" t="s">
        <v>44</v>
      </c>
      <c r="E145" s="4" t="n">
        <v>1</v>
      </c>
      <c r="F145" s="15" t="n">
        <v>811.2</v>
      </c>
      <c r="G145" s="15"/>
      <c r="H145" s="4"/>
      <c r="I145" s="4" t="s">
        <v>178</v>
      </c>
      <c r="J145" s="6" t="n">
        <f aca="false">E145*F145/1000</f>
        <v>0.8112</v>
      </c>
      <c r="K145" s="16"/>
    </row>
    <row r="146" customFormat="false" ht="15" hidden="false" customHeight="false" outlineLevel="0" collapsed="false">
      <c r="A146" s="4" t="n">
        <v>142</v>
      </c>
      <c r="B146" s="4" t="s">
        <v>114</v>
      </c>
      <c r="C146" s="4" t="s">
        <v>183</v>
      </c>
      <c r="D146" s="4" t="s">
        <v>44</v>
      </c>
      <c r="E146" s="4" t="n">
        <v>1</v>
      </c>
      <c r="F146" s="15" t="n">
        <v>811.2</v>
      </c>
      <c r="G146" s="15"/>
      <c r="H146" s="4"/>
      <c r="I146" s="4" t="s">
        <v>178</v>
      </c>
      <c r="J146" s="6" t="n">
        <f aca="false">E146*F146/1000</f>
        <v>0.8112</v>
      </c>
      <c r="K146" s="16"/>
    </row>
    <row r="147" customFormat="false" ht="15" hidden="false" customHeight="false" outlineLevel="0" collapsed="false">
      <c r="A147" s="4" t="n">
        <v>143</v>
      </c>
      <c r="B147" s="4" t="s">
        <v>114</v>
      </c>
      <c r="C147" s="4" t="s">
        <v>184</v>
      </c>
      <c r="D147" s="4" t="s">
        <v>44</v>
      </c>
      <c r="E147" s="4" t="n">
        <v>1</v>
      </c>
      <c r="F147" s="15" t="n">
        <v>811.2</v>
      </c>
      <c r="G147" s="15"/>
      <c r="H147" s="4"/>
      <c r="I147" s="4" t="s">
        <v>178</v>
      </c>
      <c r="J147" s="6" t="n">
        <f aca="false">E147*F147/1000</f>
        <v>0.8112</v>
      </c>
      <c r="K147" s="16"/>
    </row>
    <row r="148" customFormat="false" ht="15" hidden="false" customHeight="false" outlineLevel="0" collapsed="false">
      <c r="A148" s="4" t="n">
        <v>144</v>
      </c>
      <c r="B148" s="4" t="s">
        <v>114</v>
      </c>
      <c r="C148" s="4" t="s">
        <v>185</v>
      </c>
      <c r="D148" s="4" t="s">
        <v>44</v>
      </c>
      <c r="E148" s="4" t="n">
        <v>2</v>
      </c>
      <c r="F148" s="15" t="n">
        <v>204.4</v>
      </c>
      <c r="G148" s="15"/>
      <c r="H148" s="4"/>
      <c r="I148" s="4" t="s">
        <v>166</v>
      </c>
      <c r="J148" s="6" t="n">
        <f aca="false">E148*F148/1000</f>
        <v>0.4088</v>
      </c>
      <c r="K148" s="16"/>
    </row>
    <row r="149" customFormat="false" ht="15" hidden="false" customHeight="false" outlineLevel="0" collapsed="false">
      <c r="A149" s="4" t="n">
        <v>145</v>
      </c>
      <c r="B149" s="4" t="s">
        <v>114</v>
      </c>
      <c r="C149" s="4" t="s">
        <v>187</v>
      </c>
      <c r="D149" s="4" t="s">
        <v>44</v>
      </c>
      <c r="E149" s="4" t="n">
        <v>2</v>
      </c>
      <c r="F149" s="15" t="n">
        <v>204.4</v>
      </c>
      <c r="G149" s="15"/>
      <c r="H149" s="4"/>
      <c r="I149" s="4" t="s">
        <v>166</v>
      </c>
      <c r="J149" s="6" t="n">
        <f aca="false">E149*F149/1000</f>
        <v>0.4088</v>
      </c>
      <c r="K149" s="16"/>
    </row>
    <row r="150" customFormat="false" ht="15" hidden="false" customHeight="false" outlineLevel="0" collapsed="false">
      <c r="A150" s="4" t="n">
        <v>146</v>
      </c>
      <c r="B150" s="4" t="s">
        <v>111</v>
      </c>
      <c r="C150" s="4" t="s">
        <v>243</v>
      </c>
      <c r="D150" s="4" t="s">
        <v>44</v>
      </c>
      <c r="E150" s="4" t="n">
        <v>1</v>
      </c>
      <c r="F150" s="15" t="n">
        <v>619.2</v>
      </c>
      <c r="G150" s="15"/>
      <c r="H150" s="4"/>
      <c r="I150" s="4" t="s">
        <v>207</v>
      </c>
      <c r="J150" s="6" t="n">
        <f aca="false">E150*F150/1000</f>
        <v>0.6192</v>
      </c>
      <c r="K150" s="16"/>
    </row>
    <row r="151" customFormat="false" ht="15" hidden="false" customHeight="false" outlineLevel="0" collapsed="false">
      <c r="A151" s="4" t="n">
        <v>147</v>
      </c>
      <c r="B151" s="4" t="s">
        <v>111</v>
      </c>
      <c r="C151" s="4" t="s">
        <v>244</v>
      </c>
      <c r="D151" s="4" t="s">
        <v>44</v>
      </c>
      <c r="E151" s="4" t="n">
        <v>3</v>
      </c>
      <c r="F151" s="15" t="n">
        <v>384.4</v>
      </c>
      <c r="G151" s="15"/>
      <c r="H151" s="4"/>
      <c r="I151" s="4" t="s">
        <v>245</v>
      </c>
      <c r="J151" s="6" t="n">
        <f aca="false">E151*F151/1000</f>
        <v>1.1532</v>
      </c>
      <c r="K151" s="16"/>
    </row>
    <row r="152" customFormat="false" ht="15" hidden="false" customHeight="false" outlineLevel="0" collapsed="false">
      <c r="A152" s="4" t="n">
        <v>148</v>
      </c>
      <c r="B152" s="4" t="s">
        <v>111</v>
      </c>
      <c r="C152" s="4" t="s">
        <v>246</v>
      </c>
      <c r="D152" s="4" t="s">
        <v>44</v>
      </c>
      <c r="E152" s="4" t="n">
        <v>2</v>
      </c>
      <c r="F152" s="15" t="n">
        <v>876</v>
      </c>
      <c r="G152" s="15"/>
      <c r="H152" s="4"/>
      <c r="I152" s="4" t="s">
        <v>200</v>
      </c>
      <c r="J152" s="6" t="n">
        <f aca="false">E152*F152/1000</f>
        <v>1.752</v>
      </c>
      <c r="K152" s="16"/>
    </row>
    <row r="153" customFormat="false" ht="15" hidden="false" customHeight="false" outlineLevel="0" collapsed="false">
      <c r="A153" s="4" t="n">
        <v>149</v>
      </c>
      <c r="B153" s="4" t="s">
        <v>111</v>
      </c>
      <c r="C153" s="4" t="s">
        <v>247</v>
      </c>
      <c r="D153" s="4" t="s">
        <v>44</v>
      </c>
      <c r="E153" s="4" t="n">
        <v>3</v>
      </c>
      <c r="F153" s="15" t="n">
        <v>508.4</v>
      </c>
      <c r="G153" s="15"/>
      <c r="H153" s="4"/>
      <c r="I153" s="4" t="s">
        <v>248</v>
      </c>
      <c r="J153" s="6" t="n">
        <f aca="false">E153*F153/1000</f>
        <v>1.5252</v>
      </c>
      <c r="K153" s="16"/>
    </row>
    <row r="154" customFormat="false" ht="15" hidden="false" customHeight="false" outlineLevel="0" collapsed="false">
      <c r="A154" s="4" t="n">
        <v>150</v>
      </c>
      <c r="B154" s="4" t="s">
        <v>111</v>
      </c>
      <c r="C154" s="4" t="s">
        <v>249</v>
      </c>
      <c r="D154" s="4" t="s">
        <v>44</v>
      </c>
      <c r="E154" s="4" t="n">
        <v>2</v>
      </c>
      <c r="F154" s="15" t="n">
        <v>876</v>
      </c>
      <c r="G154" s="15"/>
      <c r="H154" s="4"/>
      <c r="I154" s="4" t="s">
        <v>250</v>
      </c>
      <c r="J154" s="6" t="n">
        <f aca="false">E154*F154/1000</f>
        <v>1.752</v>
      </c>
      <c r="K154" s="16"/>
    </row>
    <row r="155" customFormat="false" ht="15" hidden="false" customHeight="false" outlineLevel="0" collapsed="false">
      <c r="A155" s="4" t="n">
        <v>151</v>
      </c>
      <c r="B155" s="4" t="s">
        <v>111</v>
      </c>
      <c r="C155" s="4" t="s">
        <v>251</v>
      </c>
      <c r="D155" s="4" t="s">
        <v>44</v>
      </c>
      <c r="E155" s="4" t="n">
        <v>1</v>
      </c>
      <c r="F155" s="15" t="n">
        <v>619.2</v>
      </c>
      <c r="G155" s="15"/>
      <c r="H155" s="4"/>
      <c r="I155" s="4" t="s">
        <v>207</v>
      </c>
      <c r="J155" s="6" t="n">
        <f aca="false">E155*F155/1000</f>
        <v>0.6192</v>
      </c>
      <c r="K155" s="16"/>
    </row>
    <row r="156" customFormat="false" ht="15" hidden="false" customHeight="false" outlineLevel="0" collapsed="false">
      <c r="A156" s="4" t="n">
        <v>152</v>
      </c>
      <c r="B156" s="4" t="s">
        <v>93</v>
      </c>
      <c r="C156" s="4" t="s">
        <v>252</v>
      </c>
      <c r="D156" s="4" t="s">
        <v>47</v>
      </c>
      <c r="E156" s="4" t="n">
        <v>3</v>
      </c>
      <c r="F156" s="15" t="n">
        <v>397</v>
      </c>
      <c r="G156" s="15"/>
      <c r="H156" s="4" t="s">
        <v>253</v>
      </c>
      <c r="I156" s="4" t="s">
        <v>254</v>
      </c>
      <c r="J156" s="6" t="n">
        <f aca="false">E156*F156/1000</f>
        <v>1.191</v>
      </c>
      <c r="K156" s="16"/>
    </row>
    <row r="157" customFormat="false" ht="15" hidden="false" customHeight="false" outlineLevel="0" collapsed="false">
      <c r="A157" s="4" t="n">
        <v>153</v>
      </c>
      <c r="B157" s="4" t="s">
        <v>93</v>
      </c>
      <c r="C157" s="4" t="s">
        <v>255</v>
      </c>
      <c r="D157" s="4" t="s">
        <v>47</v>
      </c>
      <c r="E157" s="4" t="n">
        <v>2</v>
      </c>
      <c r="F157" s="15" t="n">
        <v>146</v>
      </c>
      <c r="G157" s="15"/>
      <c r="H157" s="4" t="s">
        <v>256</v>
      </c>
      <c r="I157" s="4" t="s">
        <v>257</v>
      </c>
      <c r="J157" s="6" t="n">
        <f aca="false">E157*F157/1000</f>
        <v>0.292</v>
      </c>
      <c r="K157" s="16"/>
    </row>
    <row r="158" customFormat="false" ht="15" hidden="false" customHeight="false" outlineLevel="0" collapsed="false">
      <c r="A158" s="4" t="n">
        <v>154</v>
      </c>
      <c r="B158" s="4" t="s">
        <v>93</v>
      </c>
      <c r="C158" s="4" t="s">
        <v>255</v>
      </c>
      <c r="D158" s="4" t="s">
        <v>47</v>
      </c>
      <c r="E158" s="4" t="n">
        <v>2</v>
      </c>
      <c r="F158" s="15" t="n">
        <v>223.6</v>
      </c>
      <c r="G158" s="15"/>
      <c r="H158" s="4" t="s">
        <v>256</v>
      </c>
      <c r="I158" s="4" t="s">
        <v>257</v>
      </c>
      <c r="J158" s="6" t="n">
        <f aca="false">E158*F158/1000</f>
        <v>0.4472</v>
      </c>
      <c r="K158" s="16"/>
    </row>
    <row r="159" customFormat="false" ht="15" hidden="false" customHeight="false" outlineLevel="0" collapsed="false">
      <c r="A159" s="4" t="n">
        <v>155</v>
      </c>
      <c r="B159" s="4" t="s">
        <v>93</v>
      </c>
      <c r="C159" s="4" t="s">
        <v>255</v>
      </c>
      <c r="D159" s="4" t="s">
        <v>47</v>
      </c>
      <c r="E159" s="4" t="n">
        <v>2</v>
      </c>
      <c r="F159" s="15" t="n">
        <v>262.4</v>
      </c>
      <c r="G159" s="15"/>
      <c r="H159" s="4" t="s">
        <v>256</v>
      </c>
      <c r="I159" s="4" t="s">
        <v>257</v>
      </c>
      <c r="J159" s="6" t="n">
        <f aca="false">E159*F159/1000</f>
        <v>0.5248</v>
      </c>
      <c r="K159" s="16"/>
    </row>
    <row r="160" customFormat="false" ht="15" hidden="false" customHeight="false" outlineLevel="0" collapsed="false">
      <c r="A160" s="4" t="n">
        <v>156</v>
      </c>
      <c r="B160" s="4" t="s">
        <v>93</v>
      </c>
      <c r="C160" s="4" t="s">
        <v>258</v>
      </c>
      <c r="D160" s="4" t="s">
        <v>47</v>
      </c>
      <c r="E160" s="4" t="n">
        <v>1</v>
      </c>
      <c r="F160" s="15" t="n">
        <v>397</v>
      </c>
      <c r="G160" s="15"/>
      <c r="H160" s="4" t="s">
        <v>253</v>
      </c>
      <c r="I160" s="4" t="s">
        <v>259</v>
      </c>
      <c r="J160" s="6" t="n">
        <f aca="false">E160*F160/1000</f>
        <v>0.397</v>
      </c>
      <c r="K160" s="16"/>
    </row>
    <row r="161" customFormat="false" ht="15" hidden="false" customHeight="false" outlineLevel="0" collapsed="false">
      <c r="A161" s="4" t="n">
        <v>157</v>
      </c>
      <c r="B161" s="4" t="s">
        <v>93</v>
      </c>
      <c r="C161" s="4" t="s">
        <v>260</v>
      </c>
      <c r="D161" s="4" t="s">
        <v>47</v>
      </c>
      <c r="E161" s="4" t="n">
        <v>1</v>
      </c>
      <c r="F161" s="15" t="n">
        <v>397</v>
      </c>
      <c r="G161" s="15"/>
      <c r="H161" s="4" t="s">
        <v>253</v>
      </c>
      <c r="I161" s="4" t="s">
        <v>259</v>
      </c>
      <c r="J161" s="6" t="n">
        <f aca="false">E161*F161/1000</f>
        <v>0.397</v>
      </c>
      <c r="K161" s="16"/>
    </row>
    <row r="162" customFormat="false" ht="15" hidden="false" customHeight="false" outlineLevel="0" collapsed="false">
      <c r="A162" s="4" t="n">
        <v>158</v>
      </c>
      <c r="B162" s="4" t="s">
        <v>93</v>
      </c>
      <c r="C162" s="4" t="s">
        <v>261</v>
      </c>
      <c r="D162" s="4" t="s">
        <v>47</v>
      </c>
      <c r="E162" s="4" t="n">
        <v>2</v>
      </c>
      <c r="F162" s="15" t="n">
        <v>87</v>
      </c>
      <c r="G162" s="15"/>
      <c r="H162" s="4" t="s">
        <v>253</v>
      </c>
      <c r="I162" s="4" t="s">
        <v>257</v>
      </c>
      <c r="J162" s="6" t="n">
        <f aca="false">E162*F162/1000</f>
        <v>0.174</v>
      </c>
      <c r="K162" s="16"/>
    </row>
    <row r="163" customFormat="false" ht="15" hidden="false" customHeight="false" outlineLevel="0" collapsed="false">
      <c r="A163" s="4" t="n">
        <v>159</v>
      </c>
      <c r="B163" s="4" t="s">
        <v>89</v>
      </c>
      <c r="C163" s="4" t="s">
        <v>262</v>
      </c>
      <c r="D163" s="4" t="s">
        <v>47</v>
      </c>
      <c r="E163" s="4" t="n">
        <v>2</v>
      </c>
      <c r="F163" s="15" t="n">
        <v>432</v>
      </c>
      <c r="G163" s="15"/>
      <c r="H163" s="4" t="s">
        <v>253</v>
      </c>
      <c r="I163" s="4" t="s">
        <v>259</v>
      </c>
      <c r="J163" s="6" t="n">
        <f aca="false">E163*F163/1000</f>
        <v>0.864</v>
      </c>
      <c r="K163" s="16"/>
    </row>
    <row r="164" customFormat="false" ht="15" hidden="false" customHeight="false" outlineLevel="0" collapsed="false">
      <c r="A164" s="4" t="n">
        <v>160</v>
      </c>
      <c r="B164" s="4" t="s">
        <v>89</v>
      </c>
      <c r="C164" s="4" t="s">
        <v>263</v>
      </c>
      <c r="D164" s="4" t="s">
        <v>47</v>
      </c>
      <c r="E164" s="4" t="n">
        <v>4</v>
      </c>
      <c r="F164" s="15" t="n">
        <v>728</v>
      </c>
      <c r="G164" s="15"/>
      <c r="H164" s="4" t="s">
        <v>256</v>
      </c>
      <c r="I164" s="4" t="s">
        <v>264</v>
      </c>
      <c r="J164" s="6" t="n">
        <f aca="false">E164*F164/1000</f>
        <v>2.912</v>
      </c>
      <c r="K164" s="16"/>
    </row>
    <row r="165" customFormat="false" ht="15" hidden="false" customHeight="false" outlineLevel="0" collapsed="false">
      <c r="A165" s="4" t="n">
        <v>161</v>
      </c>
      <c r="B165" s="4" t="s">
        <v>89</v>
      </c>
      <c r="C165" s="4" t="s">
        <v>258</v>
      </c>
      <c r="D165" s="4" t="s">
        <v>47</v>
      </c>
      <c r="E165" s="4" t="n">
        <v>1</v>
      </c>
      <c r="F165" s="15" t="n">
        <v>867</v>
      </c>
      <c r="G165" s="15"/>
      <c r="H165" s="4" t="s">
        <v>253</v>
      </c>
      <c r="I165" s="4" t="s">
        <v>265</v>
      </c>
      <c r="J165" s="6" t="n">
        <f aca="false">E165*F165/1000</f>
        <v>0.867</v>
      </c>
      <c r="K165" s="16"/>
    </row>
    <row r="166" customFormat="false" ht="15" hidden="false" customHeight="false" outlineLevel="0" collapsed="false">
      <c r="A166" s="4" t="n">
        <v>162</v>
      </c>
      <c r="B166" s="4" t="s">
        <v>89</v>
      </c>
      <c r="C166" s="4" t="s">
        <v>260</v>
      </c>
      <c r="D166" s="4" t="s">
        <v>47</v>
      </c>
      <c r="E166" s="4" t="n">
        <v>1</v>
      </c>
      <c r="F166" s="15" t="n">
        <v>867</v>
      </c>
      <c r="G166" s="15"/>
      <c r="H166" s="4" t="s">
        <v>253</v>
      </c>
      <c r="I166" s="4" t="s">
        <v>265</v>
      </c>
      <c r="J166" s="6" t="n">
        <f aca="false">E166*F166/1000</f>
        <v>0.867</v>
      </c>
      <c r="K166" s="16"/>
    </row>
    <row r="167" customFormat="false" ht="15" hidden="false" customHeight="false" outlineLevel="0" collapsed="false">
      <c r="A167" s="4" t="n">
        <v>163</v>
      </c>
      <c r="B167" s="4" t="s">
        <v>89</v>
      </c>
      <c r="C167" s="4" t="s">
        <v>261</v>
      </c>
      <c r="D167" s="4" t="s">
        <v>47</v>
      </c>
      <c r="E167" s="4" t="n">
        <v>2</v>
      </c>
      <c r="F167" s="15" t="n">
        <v>87</v>
      </c>
      <c r="G167" s="15"/>
      <c r="H167" s="4" t="s">
        <v>253</v>
      </c>
      <c r="I167" s="4" t="s">
        <v>257</v>
      </c>
      <c r="J167" s="6" t="n">
        <f aca="false">E167*F167/1000</f>
        <v>0.174</v>
      </c>
      <c r="K167" s="16"/>
    </row>
    <row r="168" customFormat="false" ht="15" hidden="false" customHeight="false" outlineLevel="0" collapsed="false">
      <c r="A168" s="4" t="n">
        <v>164</v>
      </c>
      <c r="B168" s="4" t="s">
        <v>201</v>
      </c>
      <c r="C168" s="4" t="s">
        <v>252</v>
      </c>
      <c r="D168" s="4" t="s">
        <v>47</v>
      </c>
      <c r="E168" s="4" t="n">
        <v>3</v>
      </c>
      <c r="F168" s="15" t="n">
        <v>469.8</v>
      </c>
      <c r="G168" s="15"/>
      <c r="H168" s="4" t="s">
        <v>253</v>
      </c>
      <c r="I168" s="4" t="s">
        <v>266</v>
      </c>
      <c r="J168" s="6" t="n">
        <f aca="false">E168*F168/1000</f>
        <v>1.4094</v>
      </c>
      <c r="K168" s="16"/>
    </row>
    <row r="169" customFormat="false" ht="15" hidden="false" customHeight="false" outlineLevel="0" collapsed="false">
      <c r="A169" s="4" t="n">
        <v>165</v>
      </c>
      <c r="B169" s="4" t="s">
        <v>201</v>
      </c>
      <c r="C169" s="4" t="s">
        <v>255</v>
      </c>
      <c r="D169" s="4" t="s">
        <v>47</v>
      </c>
      <c r="E169" s="4" t="n">
        <v>2</v>
      </c>
      <c r="F169" s="15" t="n">
        <v>146</v>
      </c>
      <c r="G169" s="15"/>
      <c r="H169" s="4" t="s">
        <v>256</v>
      </c>
      <c r="I169" s="4" t="s">
        <v>257</v>
      </c>
      <c r="J169" s="6" t="n">
        <f aca="false">E169*F169/1000</f>
        <v>0.292</v>
      </c>
      <c r="K169" s="16"/>
    </row>
    <row r="170" customFormat="false" ht="15" hidden="false" customHeight="false" outlineLevel="0" collapsed="false">
      <c r="A170" s="4" t="n">
        <v>166</v>
      </c>
      <c r="B170" s="4" t="s">
        <v>201</v>
      </c>
      <c r="C170" s="4" t="s">
        <v>255</v>
      </c>
      <c r="D170" s="4" t="s">
        <v>47</v>
      </c>
      <c r="E170" s="4" t="n">
        <v>2</v>
      </c>
      <c r="F170" s="15" t="n">
        <v>223.6</v>
      </c>
      <c r="G170" s="15"/>
      <c r="H170" s="4" t="s">
        <v>256</v>
      </c>
      <c r="I170" s="4" t="s">
        <v>257</v>
      </c>
      <c r="J170" s="6" t="n">
        <f aca="false">E170*F170/1000</f>
        <v>0.4472</v>
      </c>
      <c r="K170" s="16"/>
    </row>
    <row r="171" customFormat="false" ht="15" hidden="false" customHeight="false" outlineLevel="0" collapsed="false">
      <c r="A171" s="4" t="n">
        <v>167</v>
      </c>
      <c r="B171" s="4" t="s">
        <v>201</v>
      </c>
      <c r="C171" s="4" t="s">
        <v>255</v>
      </c>
      <c r="D171" s="4" t="s">
        <v>47</v>
      </c>
      <c r="E171" s="4" t="n">
        <v>2</v>
      </c>
      <c r="F171" s="15" t="n">
        <v>262.4</v>
      </c>
      <c r="G171" s="15"/>
      <c r="H171" s="4" t="s">
        <v>256</v>
      </c>
      <c r="I171" s="4" t="s">
        <v>257</v>
      </c>
      <c r="J171" s="6" t="n">
        <f aca="false">E171*F171/1000</f>
        <v>0.5248</v>
      </c>
      <c r="K171" s="16"/>
    </row>
    <row r="172" customFormat="false" ht="15" hidden="false" customHeight="false" outlineLevel="0" collapsed="false">
      <c r="A172" s="4" t="n">
        <v>168</v>
      </c>
      <c r="B172" s="4" t="s">
        <v>201</v>
      </c>
      <c r="C172" s="4" t="s">
        <v>258</v>
      </c>
      <c r="D172" s="4" t="s">
        <v>47</v>
      </c>
      <c r="E172" s="4" t="n">
        <v>1</v>
      </c>
      <c r="F172" s="15" t="n">
        <v>469.8</v>
      </c>
      <c r="G172" s="15"/>
      <c r="H172" s="4" t="s">
        <v>253</v>
      </c>
      <c r="I172" s="4" t="s">
        <v>266</v>
      </c>
      <c r="J172" s="6" t="n">
        <f aca="false">E172*F172/1000</f>
        <v>0.4698</v>
      </c>
      <c r="K172" s="16"/>
    </row>
    <row r="173" customFormat="false" ht="15" hidden="false" customHeight="false" outlineLevel="0" collapsed="false">
      <c r="A173" s="4" t="n">
        <v>169</v>
      </c>
      <c r="B173" s="4" t="s">
        <v>201</v>
      </c>
      <c r="C173" s="4" t="s">
        <v>260</v>
      </c>
      <c r="D173" s="4" t="s">
        <v>47</v>
      </c>
      <c r="E173" s="4" t="n">
        <v>1</v>
      </c>
      <c r="F173" s="15" t="n">
        <v>469.8</v>
      </c>
      <c r="G173" s="15"/>
      <c r="H173" s="4" t="s">
        <v>253</v>
      </c>
      <c r="I173" s="4" t="s">
        <v>266</v>
      </c>
      <c r="J173" s="6" t="n">
        <f aca="false">E173*F173/1000</f>
        <v>0.4698</v>
      </c>
      <c r="K173" s="16"/>
    </row>
    <row r="174" customFormat="false" ht="15" hidden="false" customHeight="false" outlineLevel="0" collapsed="false">
      <c r="A174" s="4" t="n">
        <v>170</v>
      </c>
      <c r="B174" s="4" t="s">
        <v>201</v>
      </c>
      <c r="C174" s="4" t="s">
        <v>261</v>
      </c>
      <c r="D174" s="4" t="s">
        <v>47</v>
      </c>
      <c r="E174" s="4" t="n">
        <v>2</v>
      </c>
      <c r="F174" s="15" t="n">
        <v>87</v>
      </c>
      <c r="G174" s="15"/>
      <c r="H174" s="4" t="s">
        <v>253</v>
      </c>
      <c r="I174" s="4" t="s">
        <v>257</v>
      </c>
      <c r="J174" s="6" t="n">
        <f aca="false">E174*F174/1000</f>
        <v>0.174</v>
      </c>
      <c r="K174" s="16"/>
    </row>
    <row r="175" customFormat="false" ht="15" hidden="false" customHeight="false" outlineLevel="0" collapsed="false">
      <c r="A175" s="4" t="n">
        <v>171</v>
      </c>
      <c r="B175" s="4" t="s">
        <v>128</v>
      </c>
      <c r="C175" s="4" t="s">
        <v>252</v>
      </c>
      <c r="D175" s="4" t="s">
        <v>47</v>
      </c>
      <c r="E175" s="4" t="n">
        <v>3</v>
      </c>
      <c r="F175" s="15" t="n">
        <v>769.8</v>
      </c>
      <c r="G175" s="15"/>
      <c r="H175" s="4" t="s">
        <v>253</v>
      </c>
      <c r="I175" s="4" t="s">
        <v>267</v>
      </c>
      <c r="J175" s="6" t="n">
        <f aca="false">E175*F175/1000</f>
        <v>2.3094</v>
      </c>
      <c r="K175" s="16"/>
    </row>
    <row r="176" customFormat="false" ht="15" hidden="false" customHeight="false" outlineLevel="0" collapsed="false">
      <c r="A176" s="4" t="n">
        <v>172</v>
      </c>
      <c r="B176" s="4" t="s">
        <v>128</v>
      </c>
      <c r="C176" s="4" t="s">
        <v>255</v>
      </c>
      <c r="D176" s="4" t="s">
        <v>47</v>
      </c>
      <c r="E176" s="4" t="n">
        <v>2</v>
      </c>
      <c r="F176" s="15" t="n">
        <v>72</v>
      </c>
      <c r="G176" s="15"/>
      <c r="H176" s="4" t="s">
        <v>256</v>
      </c>
      <c r="I176" s="4" t="s">
        <v>257</v>
      </c>
      <c r="J176" s="6" t="n">
        <f aca="false">E176*F176/1000</f>
        <v>0.144</v>
      </c>
      <c r="K176" s="16"/>
    </row>
    <row r="177" customFormat="false" ht="15" hidden="false" customHeight="false" outlineLevel="0" collapsed="false">
      <c r="A177" s="4" t="n">
        <v>173</v>
      </c>
      <c r="B177" s="4" t="s">
        <v>128</v>
      </c>
      <c r="C177" s="4" t="s">
        <v>255</v>
      </c>
      <c r="D177" s="4" t="s">
        <v>47</v>
      </c>
      <c r="E177" s="4" t="n">
        <v>4</v>
      </c>
      <c r="F177" s="15" t="n">
        <v>280</v>
      </c>
      <c r="G177" s="15"/>
      <c r="H177" s="4" t="s">
        <v>256</v>
      </c>
      <c r="I177" s="4" t="s">
        <v>268</v>
      </c>
      <c r="J177" s="6" t="n">
        <f aca="false">E177*F177/1000</f>
        <v>1.12</v>
      </c>
      <c r="K177" s="16"/>
    </row>
    <row r="178" customFormat="false" ht="15" hidden="false" customHeight="false" outlineLevel="0" collapsed="false">
      <c r="A178" s="4" t="n">
        <v>174</v>
      </c>
      <c r="B178" s="4" t="s">
        <v>128</v>
      </c>
      <c r="C178" s="4" t="s">
        <v>258</v>
      </c>
      <c r="D178" s="4" t="s">
        <v>47</v>
      </c>
      <c r="E178" s="4" t="n">
        <v>1</v>
      </c>
      <c r="F178" s="15" t="n">
        <v>769.8</v>
      </c>
      <c r="G178" s="15"/>
      <c r="H178" s="4" t="s">
        <v>253</v>
      </c>
      <c r="I178" s="4" t="s">
        <v>264</v>
      </c>
      <c r="J178" s="6" t="n">
        <f aca="false">E178*F178/1000</f>
        <v>0.7698</v>
      </c>
      <c r="K178" s="16"/>
    </row>
    <row r="179" customFormat="false" ht="15" hidden="false" customHeight="false" outlineLevel="0" collapsed="false">
      <c r="A179" s="4" t="n">
        <v>175</v>
      </c>
      <c r="B179" s="4" t="s">
        <v>128</v>
      </c>
      <c r="C179" s="4" t="s">
        <v>260</v>
      </c>
      <c r="D179" s="4" t="s">
        <v>47</v>
      </c>
      <c r="E179" s="4" t="n">
        <v>1</v>
      </c>
      <c r="F179" s="15" t="n">
        <v>769.8</v>
      </c>
      <c r="G179" s="15"/>
      <c r="H179" s="4" t="s">
        <v>253</v>
      </c>
      <c r="I179" s="4" t="s">
        <v>264</v>
      </c>
      <c r="J179" s="6" t="n">
        <f aca="false">E179*F179/1000</f>
        <v>0.7698</v>
      </c>
      <c r="K179" s="16"/>
    </row>
    <row r="180" customFormat="false" ht="15" hidden="false" customHeight="false" outlineLevel="0" collapsed="false">
      <c r="A180" s="4" t="n">
        <v>176</v>
      </c>
      <c r="B180" s="4" t="s">
        <v>128</v>
      </c>
      <c r="C180" s="4" t="s">
        <v>261</v>
      </c>
      <c r="D180" s="4" t="s">
        <v>47</v>
      </c>
      <c r="E180" s="4" t="n">
        <v>2</v>
      </c>
      <c r="F180" s="15" t="n">
        <v>87</v>
      </c>
      <c r="G180" s="15"/>
      <c r="H180" s="4" t="s">
        <v>253</v>
      </c>
      <c r="I180" s="4" t="s">
        <v>257</v>
      </c>
      <c r="J180" s="6" t="n">
        <f aca="false">E180*F180/1000</f>
        <v>0.174</v>
      </c>
      <c r="K180" s="16"/>
    </row>
    <row r="181" customFormat="false" ht="15" hidden="false" customHeight="false" outlineLevel="0" collapsed="false">
      <c r="A181" s="4" t="n">
        <v>177</v>
      </c>
      <c r="B181" s="4" t="s">
        <v>209</v>
      </c>
      <c r="C181" s="4" t="s">
        <v>252</v>
      </c>
      <c r="D181" s="4" t="s">
        <v>47</v>
      </c>
      <c r="E181" s="4" t="n">
        <v>3</v>
      </c>
      <c r="F181" s="15" t="n">
        <v>469.8</v>
      </c>
      <c r="G181" s="15"/>
      <c r="H181" s="4" t="s">
        <v>253</v>
      </c>
      <c r="I181" s="4" t="s">
        <v>266</v>
      </c>
      <c r="J181" s="6" t="n">
        <f aca="false">E181*F181/1000</f>
        <v>1.4094</v>
      </c>
      <c r="K181" s="16"/>
    </row>
    <row r="182" customFormat="false" ht="15" hidden="false" customHeight="false" outlineLevel="0" collapsed="false">
      <c r="A182" s="4" t="n">
        <v>178</v>
      </c>
      <c r="B182" s="4" t="s">
        <v>209</v>
      </c>
      <c r="C182" s="4" t="s">
        <v>255</v>
      </c>
      <c r="D182" s="4" t="s">
        <v>47</v>
      </c>
      <c r="E182" s="4" t="n">
        <v>2</v>
      </c>
      <c r="F182" s="15" t="n">
        <v>146</v>
      </c>
      <c r="G182" s="15"/>
      <c r="H182" s="4" t="s">
        <v>256</v>
      </c>
      <c r="I182" s="4" t="s">
        <v>257</v>
      </c>
      <c r="J182" s="6" t="n">
        <f aca="false">E182*F182/1000</f>
        <v>0.292</v>
      </c>
      <c r="K182" s="16"/>
    </row>
    <row r="183" customFormat="false" ht="15" hidden="false" customHeight="false" outlineLevel="0" collapsed="false">
      <c r="A183" s="4" t="n">
        <v>179</v>
      </c>
      <c r="B183" s="4" t="s">
        <v>209</v>
      </c>
      <c r="C183" s="4" t="s">
        <v>255</v>
      </c>
      <c r="D183" s="4" t="s">
        <v>47</v>
      </c>
      <c r="E183" s="4" t="n">
        <v>2</v>
      </c>
      <c r="F183" s="15" t="n">
        <v>223.6</v>
      </c>
      <c r="G183" s="15"/>
      <c r="H183" s="4" t="s">
        <v>256</v>
      </c>
      <c r="I183" s="4" t="s">
        <v>257</v>
      </c>
      <c r="J183" s="6" t="n">
        <f aca="false">E183*F183/1000</f>
        <v>0.4472</v>
      </c>
      <c r="K183" s="16"/>
    </row>
    <row r="184" customFormat="false" ht="15" hidden="false" customHeight="false" outlineLevel="0" collapsed="false">
      <c r="A184" s="4" t="n">
        <v>180</v>
      </c>
      <c r="B184" s="4" t="s">
        <v>209</v>
      </c>
      <c r="C184" s="4" t="s">
        <v>255</v>
      </c>
      <c r="D184" s="4" t="s">
        <v>47</v>
      </c>
      <c r="E184" s="4" t="n">
        <v>2</v>
      </c>
      <c r="F184" s="15" t="n">
        <v>262.4</v>
      </c>
      <c r="G184" s="15"/>
      <c r="H184" s="4" t="s">
        <v>256</v>
      </c>
      <c r="I184" s="4" t="s">
        <v>257</v>
      </c>
      <c r="J184" s="6" t="n">
        <f aca="false">E184*F184/1000</f>
        <v>0.5248</v>
      </c>
      <c r="K184" s="16"/>
    </row>
    <row r="185" customFormat="false" ht="15" hidden="false" customHeight="false" outlineLevel="0" collapsed="false">
      <c r="A185" s="4" t="n">
        <v>181</v>
      </c>
      <c r="B185" s="4" t="s">
        <v>209</v>
      </c>
      <c r="C185" s="4" t="s">
        <v>258</v>
      </c>
      <c r="D185" s="4" t="s">
        <v>47</v>
      </c>
      <c r="E185" s="4" t="n">
        <v>1</v>
      </c>
      <c r="F185" s="15" t="n">
        <v>469.8</v>
      </c>
      <c r="G185" s="15"/>
      <c r="H185" s="4" t="s">
        <v>253</v>
      </c>
      <c r="I185" s="4" t="s">
        <v>266</v>
      </c>
      <c r="J185" s="6" t="n">
        <f aca="false">E185*F185/1000</f>
        <v>0.4698</v>
      </c>
      <c r="K185" s="16"/>
    </row>
    <row r="186" customFormat="false" ht="15" hidden="false" customHeight="false" outlineLevel="0" collapsed="false">
      <c r="A186" s="4" t="n">
        <v>182</v>
      </c>
      <c r="B186" s="4" t="s">
        <v>209</v>
      </c>
      <c r="C186" s="4" t="s">
        <v>260</v>
      </c>
      <c r="D186" s="4" t="s">
        <v>47</v>
      </c>
      <c r="E186" s="4" t="n">
        <v>1</v>
      </c>
      <c r="F186" s="15" t="n">
        <v>469.8</v>
      </c>
      <c r="G186" s="15"/>
      <c r="H186" s="4" t="s">
        <v>253</v>
      </c>
      <c r="I186" s="4" t="s">
        <v>266</v>
      </c>
      <c r="J186" s="6" t="n">
        <f aca="false">E186*F186/1000</f>
        <v>0.4698</v>
      </c>
      <c r="K186" s="16"/>
    </row>
    <row r="187" customFormat="false" ht="15" hidden="false" customHeight="false" outlineLevel="0" collapsed="false">
      <c r="A187" s="4" t="n">
        <v>183</v>
      </c>
      <c r="B187" s="4" t="s">
        <v>209</v>
      </c>
      <c r="C187" s="4" t="s">
        <v>261</v>
      </c>
      <c r="D187" s="4" t="s">
        <v>47</v>
      </c>
      <c r="E187" s="4" t="n">
        <v>2</v>
      </c>
      <c r="F187" s="15" t="n">
        <v>87</v>
      </c>
      <c r="G187" s="15"/>
      <c r="H187" s="4" t="s">
        <v>253</v>
      </c>
      <c r="I187" s="4" t="s">
        <v>257</v>
      </c>
      <c r="J187" s="6" t="n">
        <f aca="false">E187*F187/1000</f>
        <v>0.174</v>
      </c>
      <c r="K187" s="16"/>
    </row>
    <row r="188" customFormat="false" ht="15" hidden="false" customHeight="false" outlineLevel="0" collapsed="false">
      <c r="A188" s="4" t="n">
        <v>184</v>
      </c>
      <c r="B188" s="4" t="s">
        <v>211</v>
      </c>
      <c r="C188" s="4" t="s">
        <v>269</v>
      </c>
      <c r="D188" s="4" t="s">
        <v>47</v>
      </c>
      <c r="E188" s="4" t="n">
        <v>2</v>
      </c>
      <c r="F188" s="15" t="n">
        <v>472</v>
      </c>
      <c r="G188" s="15"/>
      <c r="H188" s="4" t="s">
        <v>253</v>
      </c>
      <c r="I188" s="4" t="s">
        <v>267</v>
      </c>
      <c r="J188" s="6" t="n">
        <f aca="false">E188*F188/1000</f>
        <v>0.944</v>
      </c>
      <c r="K188" s="16"/>
    </row>
    <row r="189" customFormat="false" ht="15" hidden="false" customHeight="false" outlineLevel="0" collapsed="false">
      <c r="A189" s="4" t="n">
        <v>185</v>
      </c>
      <c r="B189" s="4" t="s">
        <v>211</v>
      </c>
      <c r="C189" s="4" t="s">
        <v>263</v>
      </c>
      <c r="D189" s="4" t="s">
        <v>47</v>
      </c>
      <c r="E189" s="4" t="n">
        <v>4</v>
      </c>
      <c r="F189" s="15" t="n">
        <v>409</v>
      </c>
      <c r="G189" s="15"/>
      <c r="H189" s="4" t="s">
        <v>256</v>
      </c>
      <c r="I189" s="4" t="s">
        <v>259</v>
      </c>
      <c r="J189" s="6" t="n">
        <f aca="false">E189*F189/1000</f>
        <v>1.636</v>
      </c>
      <c r="K189" s="16"/>
    </row>
    <row r="190" customFormat="false" ht="15" hidden="false" customHeight="false" outlineLevel="0" collapsed="false">
      <c r="A190" s="4" t="n">
        <v>186</v>
      </c>
      <c r="B190" s="4" t="s">
        <v>235</v>
      </c>
      <c r="C190" s="4" t="s">
        <v>269</v>
      </c>
      <c r="D190" s="4" t="s">
        <v>47</v>
      </c>
      <c r="E190" s="4" t="n">
        <v>1</v>
      </c>
      <c r="F190" s="15" t="n">
        <v>397</v>
      </c>
      <c r="G190" s="15"/>
      <c r="H190" s="4" t="s">
        <v>253</v>
      </c>
      <c r="I190" s="4" t="s">
        <v>259</v>
      </c>
      <c r="J190" s="6" t="n">
        <f aca="false">E190*F190/1000</f>
        <v>0.397</v>
      </c>
      <c r="K190" s="16"/>
    </row>
    <row r="191" customFormat="false" ht="15" hidden="false" customHeight="false" outlineLevel="0" collapsed="false">
      <c r="A191" s="4" t="n">
        <v>187</v>
      </c>
      <c r="B191" s="4" t="s">
        <v>235</v>
      </c>
      <c r="C191" s="4" t="s">
        <v>263</v>
      </c>
      <c r="D191" s="4" t="s">
        <v>47</v>
      </c>
      <c r="E191" s="4" t="n">
        <v>2</v>
      </c>
      <c r="F191" s="15" t="n">
        <v>866</v>
      </c>
      <c r="G191" s="15"/>
      <c r="H191" s="4" t="s">
        <v>256</v>
      </c>
      <c r="I191" s="4" t="s">
        <v>265</v>
      </c>
      <c r="J191" s="6" t="n">
        <f aca="false">E191*F191/1000</f>
        <v>1.732</v>
      </c>
      <c r="K191" s="16"/>
    </row>
    <row r="192" customFormat="false" ht="15" hidden="false" customHeight="false" outlineLevel="0" collapsed="false">
      <c r="A192" s="4" t="n">
        <v>188</v>
      </c>
      <c r="B192" s="4" t="s">
        <v>105</v>
      </c>
      <c r="C192" s="4" t="s">
        <v>269</v>
      </c>
      <c r="D192" s="4" t="s">
        <v>47</v>
      </c>
      <c r="E192" s="4" t="n">
        <v>1</v>
      </c>
      <c r="F192" s="15" t="n">
        <v>617</v>
      </c>
      <c r="G192" s="15"/>
      <c r="H192" s="4" t="s">
        <v>253</v>
      </c>
      <c r="I192" s="4" t="s">
        <v>266</v>
      </c>
      <c r="J192" s="6" t="n">
        <f aca="false">E192*F192/1000</f>
        <v>0.617</v>
      </c>
      <c r="K192" s="16"/>
    </row>
    <row r="193" customFormat="false" ht="15" hidden="false" customHeight="false" outlineLevel="0" collapsed="false">
      <c r="A193" s="4" t="n">
        <v>189</v>
      </c>
      <c r="B193" s="4" t="s">
        <v>105</v>
      </c>
      <c r="C193" s="4" t="s">
        <v>263</v>
      </c>
      <c r="D193" s="4" t="s">
        <v>47</v>
      </c>
      <c r="E193" s="4" t="n">
        <v>2</v>
      </c>
      <c r="F193" s="15" t="n">
        <v>624</v>
      </c>
      <c r="G193" s="15"/>
      <c r="H193" s="4" t="s">
        <v>256</v>
      </c>
      <c r="I193" s="4" t="s">
        <v>270</v>
      </c>
      <c r="J193" s="6" t="n">
        <f aca="false">E193*F193/1000</f>
        <v>1.248</v>
      </c>
      <c r="K193" s="16"/>
    </row>
    <row r="194" customFormat="false" ht="15" hidden="false" customHeight="false" outlineLevel="0" collapsed="false">
      <c r="A194" s="4" t="n">
        <v>190</v>
      </c>
      <c r="B194" s="4" t="s">
        <v>240</v>
      </c>
      <c r="C194" s="4" t="s">
        <v>269</v>
      </c>
      <c r="D194" s="4" t="s">
        <v>47</v>
      </c>
      <c r="E194" s="4" t="n">
        <v>2</v>
      </c>
      <c r="F194" s="15" t="n">
        <v>321.3</v>
      </c>
      <c r="G194" s="15"/>
      <c r="H194" s="4" t="s">
        <v>253</v>
      </c>
      <c r="I194" s="4" t="s">
        <v>259</v>
      </c>
      <c r="J194" s="6" t="n">
        <f aca="false">E194*F194/1000</f>
        <v>0.6426</v>
      </c>
      <c r="K194" s="16"/>
    </row>
    <row r="195" customFormat="false" ht="15" hidden="false" customHeight="false" outlineLevel="0" collapsed="false">
      <c r="A195" s="4" t="n">
        <v>191</v>
      </c>
      <c r="B195" s="4" t="s">
        <v>240</v>
      </c>
      <c r="C195" s="4" t="s">
        <v>263</v>
      </c>
      <c r="D195" s="4" t="s">
        <v>47</v>
      </c>
      <c r="E195" s="4" t="n">
        <v>4</v>
      </c>
      <c r="F195" s="15" t="n">
        <v>866</v>
      </c>
      <c r="G195" s="15"/>
      <c r="H195" s="4" t="s">
        <v>256</v>
      </c>
      <c r="I195" s="4" t="s">
        <v>271</v>
      </c>
      <c r="J195" s="6" t="n">
        <f aca="false">E195*F195/1000</f>
        <v>3.464</v>
      </c>
      <c r="K195" s="16"/>
    </row>
    <row r="196" customFormat="false" ht="15" hidden="false" customHeight="false" outlineLevel="0" collapsed="false">
      <c r="A196" s="4" t="n">
        <v>192</v>
      </c>
      <c r="B196" s="4" t="s">
        <v>114</v>
      </c>
      <c r="C196" s="4" t="s">
        <v>269</v>
      </c>
      <c r="D196" s="4" t="s">
        <v>47</v>
      </c>
      <c r="E196" s="4" t="n">
        <v>2</v>
      </c>
      <c r="F196" s="15" t="n">
        <v>432</v>
      </c>
      <c r="G196" s="15"/>
      <c r="H196" s="4" t="s">
        <v>253</v>
      </c>
      <c r="I196" s="4" t="s">
        <v>259</v>
      </c>
      <c r="J196" s="6" t="n">
        <f aca="false">E196*F196/1000</f>
        <v>0.864</v>
      </c>
      <c r="K196" s="16"/>
    </row>
    <row r="197" customFormat="false" ht="15" hidden="false" customHeight="false" outlineLevel="0" collapsed="false">
      <c r="A197" s="4" t="n">
        <v>193</v>
      </c>
      <c r="B197" s="4" t="s">
        <v>114</v>
      </c>
      <c r="C197" s="4" t="s">
        <v>263</v>
      </c>
      <c r="D197" s="4" t="s">
        <v>47</v>
      </c>
      <c r="E197" s="4" t="n">
        <v>4</v>
      </c>
      <c r="F197" s="15" t="n">
        <v>866</v>
      </c>
      <c r="G197" s="15"/>
      <c r="H197" s="4" t="s">
        <v>256</v>
      </c>
      <c r="I197" s="4" t="s">
        <v>272</v>
      </c>
      <c r="J197" s="6" t="n">
        <f aca="false">E197*F197/1000</f>
        <v>3.464</v>
      </c>
      <c r="K197" s="16"/>
    </row>
    <row r="198" customFormat="false" ht="15" hidden="false" customHeight="false" outlineLevel="0" collapsed="false">
      <c r="A198" s="4" t="n">
        <v>194</v>
      </c>
      <c r="B198" s="4" t="s">
        <v>93</v>
      </c>
      <c r="C198" s="4" t="s">
        <v>273</v>
      </c>
      <c r="D198" s="4" t="s">
        <v>50</v>
      </c>
      <c r="E198" s="4" t="n">
        <v>3</v>
      </c>
      <c r="F198" s="15" t="n">
        <v>397</v>
      </c>
      <c r="G198" s="15"/>
      <c r="H198" s="4" t="s">
        <v>274</v>
      </c>
      <c r="I198" s="4" t="s">
        <v>275</v>
      </c>
      <c r="J198" s="6" t="n">
        <f aca="false">E198*F198/1000</f>
        <v>1.191</v>
      </c>
      <c r="K198" s="16"/>
    </row>
    <row r="199" customFormat="false" ht="15" hidden="false" customHeight="false" outlineLevel="0" collapsed="false">
      <c r="A199" s="4" t="n">
        <v>195</v>
      </c>
      <c r="B199" s="4" t="s">
        <v>89</v>
      </c>
      <c r="C199" s="4" t="s">
        <v>276</v>
      </c>
      <c r="D199" s="4" t="s">
        <v>50</v>
      </c>
      <c r="E199" s="4" t="n">
        <v>2</v>
      </c>
      <c r="F199" s="15" t="n">
        <v>432</v>
      </c>
      <c r="G199" s="15"/>
      <c r="H199" s="4" t="s">
        <v>274</v>
      </c>
      <c r="I199" s="4" t="s">
        <v>275</v>
      </c>
      <c r="J199" s="6" t="n">
        <f aca="false">E199*F199/1000</f>
        <v>0.864</v>
      </c>
      <c r="K199" s="16"/>
    </row>
    <row r="200" customFormat="false" ht="15" hidden="false" customHeight="false" outlineLevel="0" collapsed="false">
      <c r="A200" s="4" t="n">
        <v>196</v>
      </c>
      <c r="B200" s="4" t="s">
        <v>201</v>
      </c>
      <c r="C200" s="4" t="s">
        <v>273</v>
      </c>
      <c r="D200" s="4" t="s">
        <v>50</v>
      </c>
      <c r="E200" s="4" t="n">
        <v>3</v>
      </c>
      <c r="F200" s="15" t="n">
        <v>469.8</v>
      </c>
      <c r="G200" s="15"/>
      <c r="H200" s="4" t="s">
        <v>274</v>
      </c>
      <c r="I200" s="4" t="s">
        <v>277</v>
      </c>
      <c r="J200" s="6" t="n">
        <f aca="false">E200*F200/1000</f>
        <v>1.4094</v>
      </c>
      <c r="K200" s="16"/>
    </row>
    <row r="201" customFormat="false" ht="15" hidden="false" customHeight="false" outlineLevel="0" collapsed="false">
      <c r="A201" s="4" t="n">
        <v>197</v>
      </c>
      <c r="B201" s="4" t="s">
        <v>128</v>
      </c>
      <c r="C201" s="4" t="s">
        <v>273</v>
      </c>
      <c r="D201" s="4" t="s">
        <v>50</v>
      </c>
      <c r="E201" s="4" t="n">
        <v>3</v>
      </c>
      <c r="F201" s="15" t="n">
        <v>769.8</v>
      </c>
      <c r="G201" s="15"/>
      <c r="H201" s="4" t="s">
        <v>274</v>
      </c>
      <c r="I201" s="4" t="s">
        <v>277</v>
      </c>
      <c r="J201" s="6" t="n">
        <f aca="false">E201*F201/1000</f>
        <v>2.3094</v>
      </c>
      <c r="K201" s="16"/>
    </row>
    <row r="202" customFormat="false" ht="15" hidden="false" customHeight="false" outlineLevel="0" collapsed="false">
      <c r="A202" s="4" t="n">
        <v>198</v>
      </c>
      <c r="B202" s="4" t="s">
        <v>209</v>
      </c>
      <c r="C202" s="4" t="s">
        <v>273</v>
      </c>
      <c r="D202" s="4" t="s">
        <v>50</v>
      </c>
      <c r="E202" s="4" t="n">
        <v>3</v>
      </c>
      <c r="F202" s="15" t="n">
        <v>469.8</v>
      </c>
      <c r="G202" s="15"/>
      <c r="H202" s="4" t="s">
        <v>274</v>
      </c>
      <c r="I202" s="4" t="s">
        <v>278</v>
      </c>
      <c r="J202" s="6" t="n">
        <f aca="false">E202*F202/1000</f>
        <v>1.4094</v>
      </c>
      <c r="K202" s="16"/>
    </row>
    <row r="203" customFormat="false" ht="15" hidden="false" customHeight="false" outlineLevel="0" collapsed="false">
      <c r="A203" s="4" t="n">
        <v>199</v>
      </c>
      <c r="B203" s="4" t="s">
        <v>211</v>
      </c>
      <c r="C203" s="4" t="s">
        <v>276</v>
      </c>
      <c r="D203" s="4" t="s">
        <v>50</v>
      </c>
      <c r="E203" s="4" t="n">
        <v>2</v>
      </c>
      <c r="F203" s="15" t="n">
        <v>472</v>
      </c>
      <c r="G203" s="15"/>
      <c r="H203" s="4" t="s">
        <v>274</v>
      </c>
      <c r="I203" s="4" t="s">
        <v>277</v>
      </c>
      <c r="J203" s="6" t="n">
        <f aca="false">E203*F203/1000</f>
        <v>0.944</v>
      </c>
      <c r="K203" s="16"/>
    </row>
    <row r="204" customFormat="false" ht="15" hidden="false" customHeight="false" outlineLevel="0" collapsed="false">
      <c r="A204" s="4" t="n">
        <v>200</v>
      </c>
      <c r="B204" s="4" t="s">
        <v>235</v>
      </c>
      <c r="C204" s="4" t="s">
        <v>276</v>
      </c>
      <c r="D204" s="4" t="s">
        <v>50</v>
      </c>
      <c r="E204" s="4" t="n">
        <v>1</v>
      </c>
      <c r="F204" s="15" t="n">
        <v>397</v>
      </c>
      <c r="G204" s="15"/>
      <c r="H204" s="4" t="s">
        <v>274</v>
      </c>
      <c r="I204" s="4" t="s">
        <v>275</v>
      </c>
      <c r="J204" s="6" t="n">
        <f aca="false">E204*F204/1000</f>
        <v>0.397</v>
      </c>
      <c r="K204" s="16"/>
    </row>
    <row r="205" customFormat="false" ht="15" hidden="false" customHeight="false" outlineLevel="0" collapsed="false">
      <c r="A205" s="4" t="n">
        <v>201</v>
      </c>
      <c r="B205" s="4" t="s">
        <v>105</v>
      </c>
      <c r="C205" s="4" t="s">
        <v>276</v>
      </c>
      <c r="D205" s="4" t="s">
        <v>50</v>
      </c>
      <c r="E205" s="4" t="n">
        <v>1</v>
      </c>
      <c r="F205" s="15" t="n">
        <v>617</v>
      </c>
      <c r="G205" s="15"/>
      <c r="H205" s="4" t="s">
        <v>274</v>
      </c>
      <c r="I205" s="4" t="s">
        <v>277</v>
      </c>
      <c r="J205" s="6" t="n">
        <f aca="false">E205*F205/1000</f>
        <v>0.617</v>
      </c>
      <c r="K205" s="16"/>
    </row>
    <row r="206" customFormat="false" ht="15" hidden="false" customHeight="false" outlineLevel="0" collapsed="false">
      <c r="A206" s="4" t="n">
        <v>202</v>
      </c>
      <c r="B206" s="4" t="s">
        <v>240</v>
      </c>
      <c r="C206" s="4" t="s">
        <v>276</v>
      </c>
      <c r="D206" s="4" t="s">
        <v>50</v>
      </c>
      <c r="E206" s="4" t="n">
        <v>2</v>
      </c>
      <c r="F206" s="15" t="n">
        <v>321.3</v>
      </c>
      <c r="G206" s="15"/>
      <c r="H206" s="4" t="s">
        <v>274</v>
      </c>
      <c r="I206" s="4" t="s">
        <v>275</v>
      </c>
      <c r="J206" s="6" t="n">
        <f aca="false">E206*F206/1000</f>
        <v>0.6426</v>
      </c>
      <c r="K206" s="16"/>
    </row>
    <row r="207" customFormat="false" ht="15" hidden="false" customHeight="false" outlineLevel="0" collapsed="false">
      <c r="A207" s="4" t="n">
        <v>203</v>
      </c>
      <c r="B207" s="4" t="s">
        <v>114</v>
      </c>
      <c r="C207" s="4" t="s">
        <v>276</v>
      </c>
      <c r="D207" s="4" t="s">
        <v>50</v>
      </c>
      <c r="E207" s="4" t="n">
        <v>2</v>
      </c>
      <c r="F207" s="15" t="n">
        <v>432</v>
      </c>
      <c r="G207" s="15"/>
      <c r="H207" s="4" t="s">
        <v>274</v>
      </c>
      <c r="I207" s="4" t="s">
        <v>275</v>
      </c>
      <c r="J207" s="6" t="n">
        <f aca="false">E207*F207/1000</f>
        <v>0.864</v>
      </c>
      <c r="K207" s="16"/>
    </row>
    <row r="208" customFormat="false" ht="15" hidden="false" customHeight="false" outlineLevel="0" collapsed="false">
      <c r="A208" s="4" t="n">
        <v>204</v>
      </c>
      <c r="B208" s="4" t="s">
        <v>93</v>
      </c>
      <c r="C208" s="4" t="s">
        <v>279</v>
      </c>
      <c r="D208" s="4" t="s">
        <v>52</v>
      </c>
      <c r="E208" s="4" t="n">
        <v>1</v>
      </c>
      <c r="F208" s="15" t="n">
        <v>776</v>
      </c>
      <c r="G208" s="15" t="n">
        <v>392</v>
      </c>
      <c r="H208" s="4"/>
      <c r="I208" s="4" t="s">
        <v>280</v>
      </c>
      <c r="J208" s="6"/>
      <c r="K208" s="16" t="n">
        <f aca="false">E208*F208*G208/1000000</f>
        <v>0.304192</v>
      </c>
    </row>
    <row r="209" customFormat="false" ht="15" hidden="false" customHeight="false" outlineLevel="0" collapsed="false">
      <c r="A209" s="4" t="n">
        <v>205</v>
      </c>
      <c r="B209" s="4" t="s">
        <v>93</v>
      </c>
      <c r="C209" s="4" t="s">
        <v>281</v>
      </c>
      <c r="D209" s="4" t="s">
        <v>52</v>
      </c>
      <c r="E209" s="4" t="n">
        <v>1</v>
      </c>
      <c r="F209" s="15" t="n">
        <v>586</v>
      </c>
      <c r="G209" s="15" t="n">
        <v>392</v>
      </c>
      <c r="H209" s="4"/>
      <c r="I209" s="4" t="s">
        <v>282</v>
      </c>
      <c r="J209" s="6"/>
      <c r="K209" s="16" t="n">
        <f aca="false">E209*F209*G209/1000000</f>
        <v>0.229712</v>
      </c>
    </row>
    <row r="210" customFormat="false" ht="15" hidden="false" customHeight="false" outlineLevel="0" collapsed="false">
      <c r="A210" s="4" t="n">
        <v>206</v>
      </c>
      <c r="B210" s="4" t="s">
        <v>93</v>
      </c>
      <c r="C210" s="4" t="s">
        <v>283</v>
      </c>
      <c r="D210" s="4" t="s">
        <v>52</v>
      </c>
      <c r="E210" s="4" t="n">
        <v>1</v>
      </c>
      <c r="F210" s="15" t="n">
        <v>373</v>
      </c>
      <c r="G210" s="15" t="n">
        <v>142</v>
      </c>
      <c r="H210" s="4" t="s">
        <v>284</v>
      </c>
      <c r="I210" s="4" t="s">
        <v>285</v>
      </c>
      <c r="J210" s="6"/>
      <c r="K210" s="16" t="n">
        <f aca="false">E210*F210*G210/1000000</f>
        <v>0.052966</v>
      </c>
    </row>
    <row r="211" customFormat="false" ht="15" hidden="false" customHeight="false" outlineLevel="0" collapsed="false">
      <c r="A211" s="4" t="n">
        <v>207</v>
      </c>
      <c r="B211" s="4" t="s">
        <v>93</v>
      </c>
      <c r="C211" s="4" t="s">
        <v>283</v>
      </c>
      <c r="D211" s="4" t="s">
        <v>52</v>
      </c>
      <c r="E211" s="4" t="n">
        <v>1</v>
      </c>
      <c r="F211" s="15" t="n">
        <v>373</v>
      </c>
      <c r="G211" s="15" t="n">
        <v>219.6</v>
      </c>
      <c r="H211" s="4" t="s">
        <v>284</v>
      </c>
      <c r="I211" s="4" t="s">
        <v>286</v>
      </c>
      <c r="J211" s="6"/>
      <c r="K211" s="16" t="n">
        <f aca="false">E211*F211*G211/1000000</f>
        <v>0.0819108</v>
      </c>
    </row>
    <row r="212" customFormat="false" ht="15" hidden="false" customHeight="false" outlineLevel="0" collapsed="false">
      <c r="A212" s="4" t="n">
        <v>208</v>
      </c>
      <c r="B212" s="4" t="s">
        <v>93</v>
      </c>
      <c r="C212" s="4" t="s">
        <v>283</v>
      </c>
      <c r="D212" s="4" t="s">
        <v>52</v>
      </c>
      <c r="E212" s="4" t="n">
        <v>1</v>
      </c>
      <c r="F212" s="15" t="n">
        <v>373</v>
      </c>
      <c r="G212" s="15" t="n">
        <v>258.4</v>
      </c>
      <c r="H212" s="4" t="s">
        <v>284</v>
      </c>
      <c r="I212" s="4" t="s">
        <v>287</v>
      </c>
      <c r="J212" s="6"/>
      <c r="K212" s="16" t="n">
        <f aca="false">E212*F212*G212/1000000</f>
        <v>0.0963832</v>
      </c>
    </row>
    <row r="213" customFormat="false" ht="15" hidden="false" customHeight="false" outlineLevel="0" collapsed="false">
      <c r="A213" s="4" t="n">
        <v>209</v>
      </c>
      <c r="B213" s="4" t="s">
        <v>93</v>
      </c>
      <c r="C213" s="4" t="s">
        <v>288</v>
      </c>
      <c r="D213" s="4" t="s">
        <v>52</v>
      </c>
      <c r="E213" s="4" t="n">
        <v>1</v>
      </c>
      <c r="F213" s="15" t="n">
        <v>400</v>
      </c>
      <c r="G213" s="15" t="n">
        <v>316.2</v>
      </c>
      <c r="H213" s="4"/>
      <c r="I213" s="4" t="s">
        <v>287</v>
      </c>
      <c r="J213" s="6"/>
      <c r="K213" s="16" t="n">
        <f aca="false">E213*F213*G213/1000000</f>
        <v>0.12648</v>
      </c>
    </row>
    <row r="214" customFormat="false" ht="15" hidden="false" customHeight="false" outlineLevel="0" collapsed="false">
      <c r="A214" s="4" t="n">
        <v>210</v>
      </c>
      <c r="B214" s="4" t="s">
        <v>93</v>
      </c>
      <c r="C214" s="4" t="s">
        <v>289</v>
      </c>
      <c r="D214" s="4" t="s">
        <v>52</v>
      </c>
      <c r="E214" s="4" t="n">
        <v>1</v>
      </c>
      <c r="F214" s="15" t="n">
        <v>373</v>
      </c>
      <c r="G214" s="15" t="n">
        <v>63</v>
      </c>
      <c r="H214" s="4" t="s">
        <v>284</v>
      </c>
      <c r="I214" s="4" t="s">
        <v>290</v>
      </c>
      <c r="J214" s="6"/>
      <c r="K214" s="16" t="n">
        <f aca="false">E214*F214*G214/1000000</f>
        <v>0.023499</v>
      </c>
    </row>
    <row r="215" customFormat="false" ht="15" hidden="false" customHeight="false" outlineLevel="0" collapsed="false">
      <c r="A215" s="4" t="n">
        <v>211</v>
      </c>
      <c r="B215" s="4" t="s">
        <v>93</v>
      </c>
      <c r="C215" s="4" t="s">
        <v>291</v>
      </c>
      <c r="D215" s="4" t="s">
        <v>52</v>
      </c>
      <c r="E215" s="4" t="n">
        <v>1</v>
      </c>
      <c r="F215" s="15" t="n">
        <v>392</v>
      </c>
      <c r="G215" s="15" t="n">
        <v>100</v>
      </c>
      <c r="H215" s="4"/>
      <c r="I215" s="4" t="s">
        <v>287</v>
      </c>
      <c r="J215" s="6"/>
      <c r="K215" s="16" t="n">
        <f aca="false">E215*F215*G215/1000000</f>
        <v>0.0392</v>
      </c>
    </row>
    <row r="216" customFormat="false" ht="15" hidden="false" customHeight="false" outlineLevel="0" collapsed="false">
      <c r="A216" s="4" t="n">
        <v>212</v>
      </c>
      <c r="B216" s="4" t="s">
        <v>93</v>
      </c>
      <c r="C216" s="4" t="s">
        <v>292</v>
      </c>
      <c r="D216" s="4" t="s">
        <v>52</v>
      </c>
      <c r="E216" s="4" t="n">
        <v>2</v>
      </c>
      <c r="F216" s="15" t="n">
        <v>474</v>
      </c>
      <c r="G216" s="15" t="n">
        <v>100</v>
      </c>
      <c r="H216" s="4"/>
      <c r="I216" s="4" t="s">
        <v>282</v>
      </c>
      <c r="J216" s="6"/>
      <c r="K216" s="16" t="n">
        <f aca="false">E216*F216*G216/1000000</f>
        <v>0.0948</v>
      </c>
    </row>
    <row r="217" customFormat="false" ht="15" hidden="false" customHeight="false" outlineLevel="0" collapsed="false">
      <c r="A217" s="4" t="n">
        <v>213</v>
      </c>
      <c r="B217" s="4" t="s">
        <v>93</v>
      </c>
      <c r="C217" s="4" t="s">
        <v>293</v>
      </c>
      <c r="D217" s="4" t="s">
        <v>52</v>
      </c>
      <c r="E217" s="4" t="n">
        <v>2</v>
      </c>
      <c r="F217" s="15" t="n">
        <v>776</v>
      </c>
      <c r="G217" s="15" t="n">
        <v>590</v>
      </c>
      <c r="H217" s="4"/>
      <c r="I217" s="4" t="s">
        <v>280</v>
      </c>
      <c r="J217" s="6"/>
      <c r="K217" s="16" t="n">
        <f aca="false">E217*F217*G217/1000000</f>
        <v>0.91568</v>
      </c>
    </row>
    <row r="218" customFormat="false" ht="15" hidden="false" customHeight="false" outlineLevel="0" collapsed="false">
      <c r="A218" s="4" t="n">
        <v>214</v>
      </c>
      <c r="B218" s="4" t="s">
        <v>89</v>
      </c>
      <c r="C218" s="4" t="s">
        <v>281</v>
      </c>
      <c r="D218" s="4" t="s">
        <v>52</v>
      </c>
      <c r="E218" s="4" t="n">
        <v>1</v>
      </c>
      <c r="F218" s="15" t="n">
        <v>862</v>
      </c>
      <c r="G218" s="15" t="n">
        <v>590</v>
      </c>
      <c r="H218" s="4"/>
      <c r="I218" s="4" t="s">
        <v>286</v>
      </c>
      <c r="J218" s="6"/>
      <c r="K218" s="16" t="n">
        <f aca="false">E218*F218*G218/1000000</f>
        <v>0.50858</v>
      </c>
    </row>
    <row r="219" customFormat="false" ht="15" hidden="false" customHeight="false" outlineLevel="0" collapsed="false">
      <c r="A219" s="4" t="n">
        <v>215</v>
      </c>
      <c r="B219" s="4" t="s">
        <v>89</v>
      </c>
      <c r="C219" s="4" t="s">
        <v>294</v>
      </c>
      <c r="D219" s="4" t="s">
        <v>52</v>
      </c>
      <c r="E219" s="4" t="n">
        <v>2</v>
      </c>
      <c r="F219" s="15" t="n">
        <v>724</v>
      </c>
      <c r="G219" s="15" t="n">
        <v>408</v>
      </c>
      <c r="H219" s="4" t="s">
        <v>284</v>
      </c>
      <c r="I219" s="4" t="s">
        <v>295</v>
      </c>
      <c r="J219" s="6"/>
      <c r="K219" s="16" t="n">
        <f aca="false">E219*F219*G219/1000000</f>
        <v>0.590784</v>
      </c>
    </row>
    <row r="220" customFormat="false" ht="15" hidden="false" customHeight="false" outlineLevel="0" collapsed="false">
      <c r="A220" s="4" t="n">
        <v>216</v>
      </c>
      <c r="B220" s="4" t="s">
        <v>89</v>
      </c>
      <c r="C220" s="4" t="s">
        <v>288</v>
      </c>
      <c r="D220" s="4" t="s">
        <v>52</v>
      </c>
      <c r="E220" s="4" t="n">
        <v>1</v>
      </c>
      <c r="F220" s="15" t="n">
        <v>786.2</v>
      </c>
      <c r="G220" s="15" t="n">
        <v>400</v>
      </c>
      <c r="H220" s="4"/>
      <c r="I220" s="4" t="s">
        <v>296</v>
      </c>
      <c r="J220" s="6"/>
      <c r="K220" s="16" t="n">
        <f aca="false">E220*F220*G220/1000000</f>
        <v>0.31448</v>
      </c>
    </row>
    <row r="221" customFormat="false" ht="15" hidden="false" customHeight="false" outlineLevel="0" collapsed="false">
      <c r="A221" s="4" t="n">
        <v>217</v>
      </c>
      <c r="B221" s="4" t="s">
        <v>89</v>
      </c>
      <c r="C221" s="4" t="s">
        <v>289</v>
      </c>
      <c r="D221" s="4" t="s">
        <v>52</v>
      </c>
      <c r="E221" s="4" t="n">
        <v>1</v>
      </c>
      <c r="F221" s="15" t="n">
        <v>843</v>
      </c>
      <c r="G221" s="15" t="n">
        <v>63</v>
      </c>
      <c r="H221" s="4" t="s">
        <v>284</v>
      </c>
      <c r="I221" s="4" t="s">
        <v>285</v>
      </c>
      <c r="J221" s="6"/>
      <c r="K221" s="16" t="n">
        <f aca="false">E221*F221*G221/1000000</f>
        <v>0.053109</v>
      </c>
    </row>
    <row r="222" customFormat="false" ht="15" hidden="false" customHeight="false" outlineLevel="0" collapsed="false">
      <c r="A222" s="4" t="n">
        <v>218</v>
      </c>
      <c r="B222" s="4" t="s">
        <v>89</v>
      </c>
      <c r="C222" s="4" t="s">
        <v>291</v>
      </c>
      <c r="D222" s="4" t="s">
        <v>52</v>
      </c>
      <c r="E222" s="4" t="n">
        <v>1</v>
      </c>
      <c r="F222" s="15" t="n">
        <v>862</v>
      </c>
      <c r="G222" s="15" t="n">
        <v>100</v>
      </c>
      <c r="H222" s="4"/>
      <c r="I222" s="4" t="s">
        <v>297</v>
      </c>
      <c r="J222" s="6"/>
      <c r="K222" s="16" t="n">
        <f aca="false">E222*F222*G222/1000000</f>
        <v>0.0862</v>
      </c>
    </row>
    <row r="223" customFormat="false" ht="15" hidden="false" customHeight="false" outlineLevel="0" collapsed="false">
      <c r="A223" s="4" t="n">
        <v>219</v>
      </c>
      <c r="B223" s="4" t="s">
        <v>89</v>
      </c>
      <c r="C223" s="4" t="s">
        <v>292</v>
      </c>
      <c r="D223" s="4" t="s">
        <v>52</v>
      </c>
      <c r="E223" s="4" t="n">
        <v>2</v>
      </c>
      <c r="F223" s="15" t="n">
        <v>474</v>
      </c>
      <c r="G223" s="15" t="n">
        <v>100</v>
      </c>
      <c r="H223" s="4"/>
      <c r="I223" s="4" t="s">
        <v>295</v>
      </c>
      <c r="J223" s="6"/>
      <c r="K223" s="16" t="n">
        <f aca="false">E223*F223*G223/1000000</f>
        <v>0.0948</v>
      </c>
    </row>
    <row r="224" customFormat="false" ht="15" hidden="false" customHeight="false" outlineLevel="0" collapsed="false">
      <c r="A224" s="4" t="n">
        <v>220</v>
      </c>
      <c r="B224" s="4" t="s">
        <v>89</v>
      </c>
      <c r="C224" s="4" t="s">
        <v>293</v>
      </c>
      <c r="D224" s="4" t="s">
        <v>52</v>
      </c>
      <c r="E224" s="4" t="n">
        <v>2</v>
      </c>
      <c r="F224" s="15" t="n">
        <v>776</v>
      </c>
      <c r="G224" s="15" t="n">
        <v>590</v>
      </c>
      <c r="H224" s="4"/>
      <c r="I224" s="4" t="s">
        <v>280</v>
      </c>
      <c r="J224" s="6"/>
      <c r="K224" s="16" t="n">
        <f aca="false">E224*F224*G224/1000000</f>
        <v>0.91568</v>
      </c>
    </row>
    <row r="225" customFormat="false" ht="15" hidden="false" customHeight="false" outlineLevel="0" collapsed="false">
      <c r="A225" s="4" t="n">
        <v>221</v>
      </c>
      <c r="B225" s="4" t="s">
        <v>134</v>
      </c>
      <c r="C225" s="4" t="s">
        <v>298</v>
      </c>
      <c r="D225" s="4" t="s">
        <v>52</v>
      </c>
      <c r="E225" s="4" t="n">
        <v>2</v>
      </c>
      <c r="F225" s="15" t="n">
        <v>1718.4</v>
      </c>
      <c r="G225" s="15" t="n">
        <v>876</v>
      </c>
      <c r="H225" s="4"/>
      <c r="I225" s="4" t="s">
        <v>299</v>
      </c>
      <c r="J225" s="6"/>
      <c r="K225" s="16" t="n">
        <f aca="false">E225*F225*G225/1000000</f>
        <v>3.0106368</v>
      </c>
    </row>
    <row r="226" customFormat="false" ht="15" hidden="false" customHeight="false" outlineLevel="0" collapsed="false">
      <c r="A226" s="4" t="n">
        <v>222</v>
      </c>
      <c r="B226" s="4" t="s">
        <v>134</v>
      </c>
      <c r="C226" s="4" t="s">
        <v>300</v>
      </c>
      <c r="D226" s="4" t="s">
        <v>52</v>
      </c>
      <c r="E226" s="4" t="n">
        <v>4</v>
      </c>
      <c r="F226" s="15" t="n">
        <v>876</v>
      </c>
      <c r="G226" s="15" t="n">
        <v>643.4</v>
      </c>
      <c r="H226" s="4"/>
      <c r="I226" s="4" t="s">
        <v>301</v>
      </c>
      <c r="J226" s="6"/>
      <c r="K226" s="16" t="n">
        <f aca="false">E226*F226*G226/1000000</f>
        <v>2.2544736</v>
      </c>
    </row>
    <row r="227" customFormat="false" ht="15" hidden="false" customHeight="false" outlineLevel="0" collapsed="false">
      <c r="A227" s="4" t="n">
        <v>223</v>
      </c>
      <c r="B227" s="4" t="s">
        <v>201</v>
      </c>
      <c r="C227" s="4" t="s">
        <v>279</v>
      </c>
      <c r="D227" s="4" t="s">
        <v>52</v>
      </c>
      <c r="E227" s="4" t="n">
        <v>1</v>
      </c>
      <c r="F227" s="15" t="n">
        <v>776</v>
      </c>
      <c r="G227" s="15" t="n">
        <v>464.8</v>
      </c>
      <c r="H227" s="4"/>
      <c r="I227" s="4" t="s">
        <v>290</v>
      </c>
      <c r="J227" s="6"/>
      <c r="K227" s="16" t="n">
        <f aca="false">E227*F227*G227/1000000</f>
        <v>0.3606848</v>
      </c>
    </row>
    <row r="228" customFormat="false" ht="15" hidden="false" customHeight="false" outlineLevel="0" collapsed="false">
      <c r="A228" s="4" t="n">
        <v>224</v>
      </c>
      <c r="B228" s="4" t="s">
        <v>201</v>
      </c>
      <c r="C228" s="4" t="s">
        <v>281</v>
      </c>
      <c r="D228" s="4" t="s">
        <v>52</v>
      </c>
      <c r="E228" s="4" t="n">
        <v>1</v>
      </c>
      <c r="F228" s="15" t="n">
        <v>586</v>
      </c>
      <c r="G228" s="15" t="n">
        <v>464.8</v>
      </c>
      <c r="H228" s="4"/>
      <c r="I228" s="4" t="s">
        <v>282</v>
      </c>
      <c r="J228" s="6"/>
      <c r="K228" s="16" t="n">
        <f aca="false">E228*F228*G228/1000000</f>
        <v>0.2723728</v>
      </c>
    </row>
    <row r="229" customFormat="false" ht="15" hidden="false" customHeight="false" outlineLevel="0" collapsed="false">
      <c r="A229" s="4" t="n">
        <v>225</v>
      </c>
      <c r="B229" s="4" t="s">
        <v>201</v>
      </c>
      <c r="C229" s="4" t="s">
        <v>283</v>
      </c>
      <c r="D229" s="4" t="s">
        <v>52</v>
      </c>
      <c r="E229" s="4" t="n">
        <v>1</v>
      </c>
      <c r="F229" s="15" t="n">
        <v>445.8</v>
      </c>
      <c r="G229" s="15" t="n">
        <v>142</v>
      </c>
      <c r="H229" s="4" t="s">
        <v>284</v>
      </c>
      <c r="I229" s="4" t="s">
        <v>287</v>
      </c>
      <c r="J229" s="6"/>
      <c r="K229" s="16" t="n">
        <f aca="false">E229*F229*G229/1000000</f>
        <v>0.0633036</v>
      </c>
    </row>
    <row r="230" customFormat="false" ht="15" hidden="false" customHeight="false" outlineLevel="0" collapsed="false">
      <c r="A230" s="4" t="n">
        <v>226</v>
      </c>
      <c r="B230" s="4" t="s">
        <v>201</v>
      </c>
      <c r="C230" s="4" t="s">
        <v>283</v>
      </c>
      <c r="D230" s="4" t="s">
        <v>52</v>
      </c>
      <c r="E230" s="4" t="n">
        <v>1</v>
      </c>
      <c r="F230" s="15" t="n">
        <v>445.8</v>
      </c>
      <c r="G230" s="15" t="n">
        <v>219.6</v>
      </c>
      <c r="H230" s="4" t="s">
        <v>284</v>
      </c>
      <c r="I230" s="4" t="s">
        <v>287</v>
      </c>
      <c r="J230" s="6"/>
      <c r="K230" s="16" t="n">
        <f aca="false">E230*F230*G230/1000000</f>
        <v>0.09789768</v>
      </c>
    </row>
    <row r="231" customFormat="false" ht="15" hidden="false" customHeight="false" outlineLevel="0" collapsed="false">
      <c r="A231" s="4" t="n">
        <v>227</v>
      </c>
      <c r="B231" s="4" t="s">
        <v>201</v>
      </c>
      <c r="C231" s="4" t="s">
        <v>283</v>
      </c>
      <c r="D231" s="4" t="s">
        <v>52</v>
      </c>
      <c r="E231" s="4" t="n">
        <v>1</v>
      </c>
      <c r="F231" s="15" t="n">
        <v>445.8</v>
      </c>
      <c r="G231" s="15" t="n">
        <v>258.4</v>
      </c>
      <c r="H231" s="4" t="s">
        <v>284</v>
      </c>
      <c r="I231" s="4" t="s">
        <v>287</v>
      </c>
      <c r="J231" s="6"/>
      <c r="K231" s="16" t="n">
        <f aca="false">E231*F231*G231/1000000</f>
        <v>0.11519472</v>
      </c>
    </row>
    <row r="232" customFormat="false" ht="15" hidden="false" customHeight="false" outlineLevel="0" collapsed="false">
      <c r="A232" s="4" t="n">
        <v>228</v>
      </c>
      <c r="B232" s="4" t="s">
        <v>201</v>
      </c>
      <c r="C232" s="4" t="s">
        <v>288</v>
      </c>
      <c r="D232" s="4" t="s">
        <v>52</v>
      </c>
      <c r="E232" s="4" t="n">
        <v>1</v>
      </c>
      <c r="F232" s="15" t="n">
        <v>400</v>
      </c>
      <c r="G232" s="15" t="n">
        <v>389</v>
      </c>
      <c r="H232" s="4"/>
      <c r="I232" s="4" t="s">
        <v>287</v>
      </c>
      <c r="J232" s="6"/>
      <c r="K232" s="16" t="n">
        <f aca="false">E232*F232*G232/1000000</f>
        <v>0.1556</v>
      </c>
    </row>
    <row r="233" customFormat="false" ht="15" hidden="false" customHeight="false" outlineLevel="0" collapsed="false">
      <c r="A233" s="4" t="n">
        <v>229</v>
      </c>
      <c r="B233" s="4" t="s">
        <v>201</v>
      </c>
      <c r="C233" s="4" t="s">
        <v>289</v>
      </c>
      <c r="D233" s="4" t="s">
        <v>52</v>
      </c>
      <c r="E233" s="4" t="n">
        <v>1</v>
      </c>
      <c r="F233" s="15" t="n">
        <v>445.8</v>
      </c>
      <c r="G233" s="15" t="n">
        <v>63</v>
      </c>
      <c r="H233" s="4" t="s">
        <v>284</v>
      </c>
      <c r="I233" s="4" t="s">
        <v>302</v>
      </c>
      <c r="J233" s="6"/>
      <c r="K233" s="16" t="n">
        <f aca="false">E233*F233*G233/1000000</f>
        <v>0.0280854</v>
      </c>
    </row>
    <row r="234" customFormat="false" ht="15" hidden="false" customHeight="false" outlineLevel="0" collapsed="false">
      <c r="A234" s="4" t="n">
        <v>230</v>
      </c>
      <c r="B234" s="4" t="s">
        <v>201</v>
      </c>
      <c r="C234" s="4" t="s">
        <v>291</v>
      </c>
      <c r="D234" s="4" t="s">
        <v>52</v>
      </c>
      <c r="E234" s="4" t="n">
        <v>1</v>
      </c>
      <c r="F234" s="15" t="n">
        <v>464.8</v>
      </c>
      <c r="G234" s="15" t="n">
        <v>100</v>
      </c>
      <c r="H234" s="4"/>
      <c r="I234" s="4" t="s">
        <v>286</v>
      </c>
      <c r="J234" s="6"/>
      <c r="K234" s="16" t="n">
        <f aca="false">E234*F234*G234/1000000</f>
        <v>0.04648</v>
      </c>
    </row>
    <row r="235" customFormat="false" ht="15" hidden="false" customHeight="false" outlineLevel="0" collapsed="false">
      <c r="A235" s="4" t="n">
        <v>231</v>
      </c>
      <c r="B235" s="4" t="s">
        <v>201</v>
      </c>
      <c r="C235" s="4" t="s">
        <v>292</v>
      </c>
      <c r="D235" s="4" t="s">
        <v>52</v>
      </c>
      <c r="E235" s="4" t="n">
        <v>2</v>
      </c>
      <c r="F235" s="15" t="n">
        <v>474</v>
      </c>
      <c r="G235" s="15" t="n">
        <v>100</v>
      </c>
      <c r="H235" s="4"/>
      <c r="I235" s="4" t="s">
        <v>303</v>
      </c>
      <c r="J235" s="6"/>
      <c r="K235" s="16" t="n">
        <f aca="false">E235*F235*G235/1000000</f>
        <v>0.0948</v>
      </c>
    </row>
    <row r="236" customFormat="false" ht="15" hidden="false" customHeight="false" outlineLevel="0" collapsed="false">
      <c r="A236" s="4" t="n">
        <v>232</v>
      </c>
      <c r="B236" s="4" t="s">
        <v>201</v>
      </c>
      <c r="C236" s="4" t="s">
        <v>293</v>
      </c>
      <c r="D236" s="4" t="s">
        <v>52</v>
      </c>
      <c r="E236" s="4" t="n">
        <v>2</v>
      </c>
      <c r="F236" s="15" t="n">
        <v>776</v>
      </c>
      <c r="G236" s="15" t="n">
        <v>590</v>
      </c>
      <c r="H236" s="4"/>
      <c r="I236" s="4" t="s">
        <v>304</v>
      </c>
      <c r="J236" s="6"/>
      <c r="K236" s="16" t="n">
        <f aca="false">E236*F236*G236/1000000</f>
        <v>0.91568</v>
      </c>
    </row>
    <row r="237" customFormat="false" ht="15" hidden="false" customHeight="false" outlineLevel="0" collapsed="false">
      <c r="A237" s="4" t="n">
        <v>233</v>
      </c>
      <c r="B237" s="4" t="s">
        <v>128</v>
      </c>
      <c r="C237" s="4" t="s">
        <v>279</v>
      </c>
      <c r="D237" s="4" t="s">
        <v>52</v>
      </c>
      <c r="E237" s="4" t="n">
        <v>1</v>
      </c>
      <c r="F237" s="15" t="n">
        <v>776</v>
      </c>
      <c r="G237" s="15" t="n">
        <v>764.8</v>
      </c>
      <c r="H237" s="4"/>
      <c r="I237" s="4" t="s">
        <v>280</v>
      </c>
      <c r="J237" s="6"/>
      <c r="K237" s="16" t="n">
        <f aca="false">E237*F237*G237/1000000</f>
        <v>0.5934848</v>
      </c>
    </row>
    <row r="238" customFormat="false" ht="15" hidden="false" customHeight="false" outlineLevel="0" collapsed="false">
      <c r="A238" s="4" t="n">
        <v>234</v>
      </c>
      <c r="B238" s="4" t="s">
        <v>128</v>
      </c>
      <c r="C238" s="4" t="s">
        <v>281</v>
      </c>
      <c r="D238" s="4" t="s">
        <v>52</v>
      </c>
      <c r="E238" s="4" t="n">
        <v>1</v>
      </c>
      <c r="F238" s="15" t="n">
        <v>764.8</v>
      </c>
      <c r="G238" s="15" t="n">
        <v>586</v>
      </c>
      <c r="H238" s="4"/>
      <c r="I238" s="4" t="s">
        <v>290</v>
      </c>
      <c r="J238" s="6"/>
      <c r="K238" s="16" t="n">
        <f aca="false">E238*F238*G238/1000000</f>
        <v>0.4481728</v>
      </c>
    </row>
    <row r="239" customFormat="false" ht="15" hidden="false" customHeight="false" outlineLevel="0" collapsed="false">
      <c r="A239" s="4" t="n">
        <v>235</v>
      </c>
      <c r="B239" s="4" t="s">
        <v>128</v>
      </c>
      <c r="C239" s="4" t="s">
        <v>283</v>
      </c>
      <c r="D239" s="4" t="s">
        <v>52</v>
      </c>
      <c r="E239" s="4" t="n">
        <v>1</v>
      </c>
      <c r="F239" s="15" t="n">
        <v>745.8</v>
      </c>
      <c r="G239" s="15" t="n">
        <v>68</v>
      </c>
      <c r="H239" s="4" t="s">
        <v>284</v>
      </c>
      <c r="I239" s="4" t="s">
        <v>305</v>
      </c>
      <c r="J239" s="6"/>
      <c r="K239" s="16" t="n">
        <f aca="false">E239*F239*G239/1000000</f>
        <v>0.0507144</v>
      </c>
    </row>
    <row r="240" customFormat="false" ht="15" hidden="false" customHeight="false" outlineLevel="0" collapsed="false">
      <c r="A240" s="4" t="n">
        <v>236</v>
      </c>
      <c r="B240" s="4" t="s">
        <v>128</v>
      </c>
      <c r="C240" s="4" t="s">
        <v>283</v>
      </c>
      <c r="D240" s="4" t="s">
        <v>52</v>
      </c>
      <c r="E240" s="4" t="n">
        <v>2</v>
      </c>
      <c r="F240" s="15" t="n">
        <v>745.8</v>
      </c>
      <c r="G240" s="15" t="n">
        <v>276</v>
      </c>
      <c r="H240" s="4" t="s">
        <v>284</v>
      </c>
      <c r="I240" s="4" t="s">
        <v>306</v>
      </c>
      <c r="J240" s="6"/>
      <c r="K240" s="16" t="n">
        <f aca="false">E240*F240*G240/1000000</f>
        <v>0.4116816</v>
      </c>
    </row>
    <row r="241" customFormat="false" ht="15" hidden="false" customHeight="false" outlineLevel="0" collapsed="false">
      <c r="A241" s="4" t="n">
        <v>237</v>
      </c>
      <c r="B241" s="4" t="s">
        <v>128</v>
      </c>
      <c r="C241" s="4" t="s">
        <v>288</v>
      </c>
      <c r="D241" s="4" t="s">
        <v>52</v>
      </c>
      <c r="E241" s="4" t="n">
        <v>1</v>
      </c>
      <c r="F241" s="15" t="n">
        <v>689</v>
      </c>
      <c r="G241" s="15" t="n">
        <v>400</v>
      </c>
      <c r="H241" s="4"/>
      <c r="I241" s="4" t="s">
        <v>296</v>
      </c>
      <c r="J241" s="6"/>
      <c r="K241" s="16" t="n">
        <f aca="false">E241*F241*G241/1000000</f>
        <v>0.2756</v>
      </c>
    </row>
    <row r="242" customFormat="false" ht="15" hidden="false" customHeight="false" outlineLevel="0" collapsed="false">
      <c r="A242" s="4" t="n">
        <v>238</v>
      </c>
      <c r="B242" s="4" t="s">
        <v>128</v>
      </c>
      <c r="C242" s="4" t="s">
        <v>289</v>
      </c>
      <c r="D242" s="4" t="s">
        <v>52</v>
      </c>
      <c r="E242" s="4" t="n">
        <v>1</v>
      </c>
      <c r="F242" s="15" t="n">
        <v>745.8</v>
      </c>
      <c r="G242" s="15" t="n">
        <v>63</v>
      </c>
      <c r="H242" s="4" t="s">
        <v>284</v>
      </c>
      <c r="I242" s="4" t="s">
        <v>286</v>
      </c>
      <c r="J242" s="6"/>
      <c r="K242" s="16" t="n">
        <f aca="false">E242*F242*G242/1000000</f>
        <v>0.0469854</v>
      </c>
    </row>
    <row r="243" customFormat="false" ht="15" hidden="false" customHeight="false" outlineLevel="0" collapsed="false">
      <c r="A243" s="4" t="n">
        <v>239</v>
      </c>
      <c r="B243" s="4" t="s">
        <v>128</v>
      </c>
      <c r="C243" s="4" t="s">
        <v>291</v>
      </c>
      <c r="D243" s="4" t="s">
        <v>52</v>
      </c>
      <c r="E243" s="4" t="n">
        <v>1</v>
      </c>
      <c r="F243" s="15" t="n">
        <v>764.8</v>
      </c>
      <c r="G243" s="15" t="n">
        <v>100</v>
      </c>
      <c r="H243" s="4"/>
      <c r="I243" s="4" t="s">
        <v>302</v>
      </c>
      <c r="J243" s="6"/>
      <c r="K243" s="16" t="n">
        <f aca="false">E243*F243*G243/1000000</f>
        <v>0.07648</v>
      </c>
    </row>
    <row r="244" customFormat="false" ht="15" hidden="false" customHeight="false" outlineLevel="0" collapsed="false">
      <c r="A244" s="4" t="n">
        <v>240</v>
      </c>
      <c r="B244" s="4" t="s">
        <v>128</v>
      </c>
      <c r="C244" s="4" t="s">
        <v>292</v>
      </c>
      <c r="D244" s="4" t="s">
        <v>52</v>
      </c>
      <c r="E244" s="4" t="n">
        <v>2</v>
      </c>
      <c r="F244" s="15" t="n">
        <v>474</v>
      </c>
      <c r="G244" s="15" t="n">
        <v>100</v>
      </c>
      <c r="H244" s="4"/>
      <c r="I244" s="4" t="s">
        <v>307</v>
      </c>
      <c r="J244" s="6"/>
      <c r="K244" s="16" t="n">
        <f aca="false">E244*F244*G244/1000000</f>
        <v>0.0948</v>
      </c>
    </row>
    <row r="245" customFormat="false" ht="15" hidden="false" customHeight="false" outlineLevel="0" collapsed="false">
      <c r="A245" s="4" t="n">
        <v>241</v>
      </c>
      <c r="B245" s="4" t="s">
        <v>128</v>
      </c>
      <c r="C245" s="4" t="s">
        <v>293</v>
      </c>
      <c r="D245" s="4" t="s">
        <v>52</v>
      </c>
      <c r="E245" s="4" t="n">
        <v>2</v>
      </c>
      <c r="F245" s="15" t="n">
        <v>776</v>
      </c>
      <c r="G245" s="15" t="n">
        <v>590</v>
      </c>
      <c r="H245" s="4"/>
      <c r="I245" s="4" t="s">
        <v>304</v>
      </c>
      <c r="J245" s="6"/>
      <c r="K245" s="16" t="n">
        <f aca="false">E245*F245*G245/1000000</f>
        <v>0.91568</v>
      </c>
    </row>
    <row r="246" customFormat="false" ht="15" hidden="false" customHeight="false" outlineLevel="0" collapsed="false">
      <c r="A246" s="4" t="n">
        <v>242</v>
      </c>
      <c r="B246" s="4" t="s">
        <v>209</v>
      </c>
      <c r="C246" s="4" t="s">
        <v>279</v>
      </c>
      <c r="D246" s="4" t="s">
        <v>52</v>
      </c>
      <c r="E246" s="4" t="n">
        <v>1</v>
      </c>
      <c r="F246" s="15" t="n">
        <v>776</v>
      </c>
      <c r="G246" s="15" t="n">
        <v>464.8</v>
      </c>
      <c r="H246" s="4"/>
      <c r="I246" s="4" t="s">
        <v>290</v>
      </c>
      <c r="J246" s="6"/>
      <c r="K246" s="16" t="n">
        <f aca="false">E246*F246*G246/1000000</f>
        <v>0.3606848</v>
      </c>
    </row>
    <row r="247" customFormat="false" ht="15" hidden="false" customHeight="false" outlineLevel="0" collapsed="false">
      <c r="A247" s="4" t="n">
        <v>243</v>
      </c>
      <c r="B247" s="4" t="s">
        <v>209</v>
      </c>
      <c r="C247" s="4" t="s">
        <v>281</v>
      </c>
      <c r="D247" s="4" t="s">
        <v>52</v>
      </c>
      <c r="E247" s="4" t="n">
        <v>1</v>
      </c>
      <c r="F247" s="15" t="n">
        <v>586</v>
      </c>
      <c r="G247" s="15" t="n">
        <v>464.8</v>
      </c>
      <c r="H247" s="4"/>
      <c r="I247" s="4" t="s">
        <v>282</v>
      </c>
      <c r="J247" s="6"/>
      <c r="K247" s="16" t="n">
        <f aca="false">E247*F247*G247/1000000</f>
        <v>0.2723728</v>
      </c>
    </row>
    <row r="248" customFormat="false" ht="15" hidden="false" customHeight="false" outlineLevel="0" collapsed="false">
      <c r="A248" s="4" t="n">
        <v>244</v>
      </c>
      <c r="B248" s="4" t="s">
        <v>209</v>
      </c>
      <c r="C248" s="4" t="s">
        <v>283</v>
      </c>
      <c r="D248" s="4" t="s">
        <v>52</v>
      </c>
      <c r="E248" s="4" t="n">
        <v>1</v>
      </c>
      <c r="F248" s="15" t="n">
        <v>445.8</v>
      </c>
      <c r="G248" s="15" t="n">
        <v>142</v>
      </c>
      <c r="H248" s="4" t="s">
        <v>284</v>
      </c>
      <c r="I248" s="4" t="s">
        <v>287</v>
      </c>
      <c r="J248" s="6"/>
      <c r="K248" s="16" t="n">
        <f aca="false">E248*F248*G248/1000000</f>
        <v>0.0633036</v>
      </c>
    </row>
    <row r="249" customFormat="false" ht="15" hidden="false" customHeight="false" outlineLevel="0" collapsed="false">
      <c r="A249" s="4" t="n">
        <v>245</v>
      </c>
      <c r="B249" s="4" t="s">
        <v>209</v>
      </c>
      <c r="C249" s="4" t="s">
        <v>283</v>
      </c>
      <c r="D249" s="4" t="s">
        <v>52</v>
      </c>
      <c r="E249" s="4" t="n">
        <v>1</v>
      </c>
      <c r="F249" s="15" t="n">
        <v>445.8</v>
      </c>
      <c r="G249" s="15" t="n">
        <v>219.6</v>
      </c>
      <c r="H249" s="4" t="s">
        <v>284</v>
      </c>
      <c r="I249" s="4" t="s">
        <v>287</v>
      </c>
      <c r="J249" s="6"/>
      <c r="K249" s="16" t="n">
        <f aca="false">E249*F249*G249/1000000</f>
        <v>0.09789768</v>
      </c>
    </row>
    <row r="250" customFormat="false" ht="15" hidden="false" customHeight="false" outlineLevel="0" collapsed="false">
      <c r="A250" s="4" t="n">
        <v>246</v>
      </c>
      <c r="B250" s="4" t="s">
        <v>209</v>
      </c>
      <c r="C250" s="4" t="s">
        <v>283</v>
      </c>
      <c r="D250" s="4" t="s">
        <v>52</v>
      </c>
      <c r="E250" s="4" t="n">
        <v>1</v>
      </c>
      <c r="F250" s="15" t="n">
        <v>445.8</v>
      </c>
      <c r="G250" s="15" t="n">
        <v>258.4</v>
      </c>
      <c r="H250" s="4" t="s">
        <v>284</v>
      </c>
      <c r="I250" s="4" t="s">
        <v>287</v>
      </c>
      <c r="J250" s="6"/>
      <c r="K250" s="16" t="n">
        <f aca="false">E250*F250*G250/1000000</f>
        <v>0.11519472</v>
      </c>
    </row>
    <row r="251" customFormat="false" ht="15" hidden="false" customHeight="false" outlineLevel="0" collapsed="false">
      <c r="A251" s="4" t="n">
        <v>247</v>
      </c>
      <c r="B251" s="4" t="s">
        <v>209</v>
      </c>
      <c r="C251" s="4" t="s">
        <v>288</v>
      </c>
      <c r="D251" s="4" t="s">
        <v>52</v>
      </c>
      <c r="E251" s="4" t="n">
        <v>1</v>
      </c>
      <c r="F251" s="15" t="n">
        <v>400</v>
      </c>
      <c r="G251" s="15" t="n">
        <v>389</v>
      </c>
      <c r="H251" s="4"/>
      <c r="I251" s="4" t="s">
        <v>287</v>
      </c>
      <c r="J251" s="6"/>
      <c r="K251" s="16" t="n">
        <f aca="false">E251*F251*G251/1000000</f>
        <v>0.1556</v>
      </c>
    </row>
    <row r="252" customFormat="false" ht="15" hidden="false" customHeight="false" outlineLevel="0" collapsed="false">
      <c r="A252" s="4" t="n">
        <v>248</v>
      </c>
      <c r="B252" s="4" t="s">
        <v>209</v>
      </c>
      <c r="C252" s="4" t="s">
        <v>289</v>
      </c>
      <c r="D252" s="4" t="s">
        <v>52</v>
      </c>
      <c r="E252" s="4" t="n">
        <v>1</v>
      </c>
      <c r="F252" s="15" t="n">
        <v>445.8</v>
      </c>
      <c r="G252" s="15" t="n">
        <v>63</v>
      </c>
      <c r="H252" s="4" t="s">
        <v>284</v>
      </c>
      <c r="I252" s="4" t="s">
        <v>290</v>
      </c>
      <c r="J252" s="6"/>
      <c r="K252" s="16" t="n">
        <f aca="false">E252*F252*G252/1000000</f>
        <v>0.0280854</v>
      </c>
    </row>
    <row r="253" customFormat="false" ht="15" hidden="false" customHeight="false" outlineLevel="0" collapsed="false">
      <c r="A253" s="4" t="n">
        <v>249</v>
      </c>
      <c r="B253" s="4" t="s">
        <v>209</v>
      </c>
      <c r="C253" s="4" t="s">
        <v>291</v>
      </c>
      <c r="D253" s="4" t="s">
        <v>52</v>
      </c>
      <c r="E253" s="4" t="n">
        <v>1</v>
      </c>
      <c r="F253" s="15" t="n">
        <v>464.8</v>
      </c>
      <c r="G253" s="15" t="n">
        <v>100</v>
      </c>
      <c r="H253" s="4"/>
      <c r="I253" s="4" t="s">
        <v>286</v>
      </c>
      <c r="J253" s="6"/>
      <c r="K253" s="16" t="n">
        <f aca="false">E253*F253*G253/1000000</f>
        <v>0.04648</v>
      </c>
    </row>
    <row r="254" customFormat="false" ht="15" hidden="false" customHeight="false" outlineLevel="0" collapsed="false">
      <c r="A254" s="4" t="n">
        <v>250</v>
      </c>
      <c r="B254" s="4" t="s">
        <v>209</v>
      </c>
      <c r="C254" s="4" t="s">
        <v>292</v>
      </c>
      <c r="D254" s="4" t="s">
        <v>52</v>
      </c>
      <c r="E254" s="4" t="n">
        <v>2</v>
      </c>
      <c r="F254" s="15" t="n">
        <v>474</v>
      </c>
      <c r="G254" s="15" t="n">
        <v>100</v>
      </c>
      <c r="H254" s="4"/>
      <c r="I254" s="4" t="s">
        <v>302</v>
      </c>
      <c r="J254" s="6"/>
      <c r="K254" s="16" t="n">
        <f aca="false">E254*F254*G254/1000000</f>
        <v>0.0948</v>
      </c>
    </row>
    <row r="255" customFormat="false" ht="15" hidden="false" customHeight="false" outlineLevel="0" collapsed="false">
      <c r="A255" s="4" t="n">
        <v>251</v>
      </c>
      <c r="B255" s="4" t="s">
        <v>209</v>
      </c>
      <c r="C255" s="4" t="s">
        <v>293</v>
      </c>
      <c r="D255" s="4" t="s">
        <v>52</v>
      </c>
      <c r="E255" s="4" t="n">
        <v>2</v>
      </c>
      <c r="F255" s="15" t="n">
        <v>776</v>
      </c>
      <c r="G255" s="15" t="n">
        <v>590</v>
      </c>
      <c r="H255" s="4"/>
      <c r="I255" s="4" t="s">
        <v>304</v>
      </c>
      <c r="J255" s="6"/>
      <c r="K255" s="16" t="n">
        <f aca="false">E255*F255*G255/1000000</f>
        <v>0.91568</v>
      </c>
    </row>
    <row r="256" customFormat="false" ht="15" hidden="false" customHeight="false" outlineLevel="0" collapsed="false">
      <c r="A256" s="4" t="n">
        <v>252</v>
      </c>
      <c r="B256" s="4" t="s">
        <v>211</v>
      </c>
      <c r="C256" s="4" t="s">
        <v>279</v>
      </c>
      <c r="D256" s="4" t="s">
        <v>52</v>
      </c>
      <c r="E256" s="4" t="n">
        <v>1</v>
      </c>
      <c r="F256" s="15" t="n">
        <v>942</v>
      </c>
      <c r="G256" s="15" t="n">
        <v>457</v>
      </c>
      <c r="H256" s="4" t="s">
        <v>308</v>
      </c>
      <c r="I256" s="4" t="s">
        <v>305</v>
      </c>
      <c r="J256" s="6"/>
      <c r="K256" s="16" t="n">
        <f aca="false">E256*F256*G256/1000000</f>
        <v>0.430494</v>
      </c>
    </row>
    <row r="257" customFormat="false" ht="15" hidden="false" customHeight="false" outlineLevel="0" collapsed="false">
      <c r="A257" s="4" t="n">
        <v>253</v>
      </c>
      <c r="B257" s="4" t="s">
        <v>211</v>
      </c>
      <c r="C257" s="4" t="s">
        <v>281</v>
      </c>
      <c r="D257" s="4" t="s">
        <v>52</v>
      </c>
      <c r="E257" s="4" t="n">
        <v>1</v>
      </c>
      <c r="F257" s="15" t="n">
        <v>942</v>
      </c>
      <c r="G257" s="15" t="n">
        <v>760</v>
      </c>
      <c r="H257" s="4" t="s">
        <v>308</v>
      </c>
      <c r="I257" s="4" t="s">
        <v>305</v>
      </c>
      <c r="J257" s="6"/>
      <c r="K257" s="16" t="n">
        <f aca="false">E257*F257*G257/1000000</f>
        <v>0.71592</v>
      </c>
    </row>
    <row r="258" customFormat="false" ht="15" hidden="false" customHeight="false" outlineLevel="0" collapsed="false">
      <c r="A258" s="4" t="n">
        <v>254</v>
      </c>
      <c r="B258" s="4" t="s">
        <v>211</v>
      </c>
      <c r="C258" s="4" t="s">
        <v>294</v>
      </c>
      <c r="D258" s="4" t="s">
        <v>52</v>
      </c>
      <c r="E258" s="4" t="n">
        <v>2</v>
      </c>
      <c r="F258" s="15" t="n">
        <v>448</v>
      </c>
      <c r="G258" s="15" t="n">
        <v>405</v>
      </c>
      <c r="H258" s="4" t="s">
        <v>284</v>
      </c>
      <c r="I258" s="4" t="s">
        <v>287</v>
      </c>
      <c r="J258" s="6"/>
      <c r="K258" s="16" t="n">
        <f aca="false">E258*F258*G258/1000000</f>
        <v>0.36288</v>
      </c>
    </row>
    <row r="259" customFormat="false" ht="15" hidden="false" customHeight="false" outlineLevel="0" collapsed="false">
      <c r="A259" s="4" t="n">
        <v>255</v>
      </c>
      <c r="B259" s="4" t="s">
        <v>211</v>
      </c>
      <c r="C259" s="4" t="s">
        <v>309</v>
      </c>
      <c r="D259" s="4" t="s">
        <v>52</v>
      </c>
      <c r="E259" s="4" t="n">
        <v>1</v>
      </c>
      <c r="F259" s="15" t="n">
        <v>457</v>
      </c>
      <c r="G259" s="15" t="n">
        <v>133.4</v>
      </c>
      <c r="H259" s="4"/>
      <c r="I259" s="4" t="s">
        <v>286</v>
      </c>
      <c r="J259" s="6"/>
      <c r="K259" s="16" t="n">
        <f aca="false">E259*F259*G259/1000000</f>
        <v>0.0609638</v>
      </c>
    </row>
    <row r="260" customFormat="false" ht="15" hidden="false" customHeight="false" outlineLevel="0" collapsed="false">
      <c r="A260" s="4" t="n">
        <v>256</v>
      </c>
      <c r="B260" s="4" t="s">
        <v>211</v>
      </c>
      <c r="C260" s="4" t="s">
        <v>310</v>
      </c>
      <c r="D260" s="4" t="s">
        <v>52</v>
      </c>
      <c r="E260" s="4" t="n">
        <v>1</v>
      </c>
      <c r="F260" s="15" t="n">
        <v>457</v>
      </c>
      <c r="G260" s="15" t="n">
        <v>124</v>
      </c>
      <c r="H260" s="4"/>
      <c r="I260" s="4" t="s">
        <v>286</v>
      </c>
      <c r="J260" s="6"/>
      <c r="K260" s="16" t="n">
        <f aca="false">E260*F260*G260/1000000</f>
        <v>0.056668</v>
      </c>
    </row>
    <row r="261" customFormat="false" ht="15" hidden="false" customHeight="false" outlineLevel="0" collapsed="false">
      <c r="A261" s="4" t="n">
        <v>257</v>
      </c>
      <c r="B261" s="4" t="s">
        <v>211</v>
      </c>
      <c r="C261" s="4" t="s">
        <v>311</v>
      </c>
      <c r="D261" s="4" t="s">
        <v>52</v>
      </c>
      <c r="E261" s="4" t="n">
        <v>1</v>
      </c>
      <c r="F261" s="15" t="n">
        <v>891.2</v>
      </c>
      <c r="G261" s="15" t="n">
        <v>740</v>
      </c>
      <c r="H261" s="4" t="s">
        <v>308</v>
      </c>
      <c r="I261" s="4" t="s">
        <v>312</v>
      </c>
      <c r="J261" s="6"/>
      <c r="K261" s="16" t="n">
        <f aca="false">E261*F261*G261/1000000</f>
        <v>0.659488</v>
      </c>
    </row>
    <row r="262" customFormat="false" ht="15" hidden="false" customHeight="false" outlineLevel="0" collapsed="false">
      <c r="A262" s="4" t="n">
        <v>258</v>
      </c>
      <c r="B262" s="4" t="s">
        <v>211</v>
      </c>
      <c r="C262" s="4" t="s">
        <v>293</v>
      </c>
      <c r="D262" s="4" t="s">
        <v>52</v>
      </c>
      <c r="E262" s="4" t="n">
        <v>1</v>
      </c>
      <c r="F262" s="15" t="n">
        <v>764</v>
      </c>
      <c r="G262" s="15" t="n">
        <v>457</v>
      </c>
      <c r="H262" s="4"/>
      <c r="I262" s="4" t="s">
        <v>290</v>
      </c>
      <c r="J262" s="6"/>
      <c r="K262" s="16" t="n">
        <f aca="false">E262*F262*G262/1000000</f>
        <v>0.349148</v>
      </c>
    </row>
    <row r="263" customFormat="false" ht="15" hidden="false" customHeight="false" outlineLevel="0" collapsed="false">
      <c r="A263" s="4" t="n">
        <v>259</v>
      </c>
      <c r="B263" s="4" t="s">
        <v>211</v>
      </c>
      <c r="C263" s="4" t="s">
        <v>293</v>
      </c>
      <c r="D263" s="4" t="s">
        <v>52</v>
      </c>
      <c r="E263" s="4" t="n">
        <v>1</v>
      </c>
      <c r="F263" s="15" t="n">
        <v>764</v>
      </c>
      <c r="G263" s="15" t="n">
        <v>457</v>
      </c>
      <c r="H263" s="4" t="s">
        <v>308</v>
      </c>
      <c r="I263" s="4" t="s">
        <v>290</v>
      </c>
      <c r="J263" s="6"/>
      <c r="K263" s="16" t="n">
        <f aca="false">E263*F263*G263/1000000</f>
        <v>0.349148</v>
      </c>
    </row>
    <row r="264" customFormat="false" ht="15" hidden="false" customHeight="false" outlineLevel="0" collapsed="false">
      <c r="A264" s="4" t="n">
        <v>260</v>
      </c>
      <c r="B264" s="4" t="s">
        <v>211</v>
      </c>
      <c r="C264" s="4" t="s">
        <v>313</v>
      </c>
      <c r="D264" s="4" t="s">
        <v>52</v>
      </c>
      <c r="E264" s="4" t="n">
        <v>1</v>
      </c>
      <c r="F264" s="15" t="n">
        <v>942</v>
      </c>
      <c r="G264" s="15" t="n">
        <v>760</v>
      </c>
      <c r="H264" s="4" t="s">
        <v>308</v>
      </c>
      <c r="I264" s="4" t="s">
        <v>305</v>
      </c>
      <c r="J264" s="6"/>
      <c r="K264" s="16" t="n">
        <f aca="false">E264*F264*G264/1000000</f>
        <v>0.71592</v>
      </c>
    </row>
    <row r="265" customFormat="false" ht="15" hidden="false" customHeight="false" outlineLevel="0" collapsed="false">
      <c r="A265" s="4" t="n">
        <v>261</v>
      </c>
      <c r="B265" s="4" t="s">
        <v>219</v>
      </c>
      <c r="C265" s="4" t="s">
        <v>314</v>
      </c>
      <c r="D265" s="4" t="s">
        <v>52</v>
      </c>
      <c r="E265" s="4" t="n">
        <v>1</v>
      </c>
      <c r="F265" s="15" t="n">
        <v>2286</v>
      </c>
      <c r="G265" s="15" t="n">
        <v>784</v>
      </c>
      <c r="H265" s="4"/>
      <c r="I265" s="4" t="s">
        <v>302</v>
      </c>
      <c r="J265" s="6"/>
      <c r="K265" s="16" t="n">
        <f aca="false">E265*F265*G265/1000000</f>
        <v>1.792224</v>
      </c>
    </row>
    <row r="266" customFormat="false" ht="15" hidden="false" customHeight="false" outlineLevel="0" collapsed="false">
      <c r="A266" s="4" t="n">
        <v>262</v>
      </c>
      <c r="B266" s="4" t="s">
        <v>219</v>
      </c>
      <c r="C266" s="4" t="s">
        <v>315</v>
      </c>
      <c r="D266" s="4" t="s">
        <v>52</v>
      </c>
      <c r="E266" s="4" t="n">
        <v>1</v>
      </c>
      <c r="F266" s="15" t="n">
        <v>2286</v>
      </c>
      <c r="G266" s="15" t="n">
        <v>30</v>
      </c>
      <c r="H266" s="4"/>
      <c r="I266" s="4" t="s">
        <v>302</v>
      </c>
      <c r="J266" s="6"/>
      <c r="K266" s="16" t="n">
        <f aca="false">E266*F266*G266/1000000</f>
        <v>0.06858</v>
      </c>
    </row>
    <row r="267" customFormat="false" ht="15" hidden="false" customHeight="false" outlineLevel="0" collapsed="false">
      <c r="A267" s="4" t="n">
        <v>263</v>
      </c>
      <c r="B267" s="4" t="s">
        <v>219</v>
      </c>
      <c r="C267" s="4" t="s">
        <v>316</v>
      </c>
      <c r="D267" s="4" t="s">
        <v>52</v>
      </c>
      <c r="E267" s="4" t="n">
        <v>1</v>
      </c>
      <c r="F267" s="15" t="n">
        <v>2286</v>
      </c>
      <c r="G267" s="15" t="n">
        <v>784</v>
      </c>
      <c r="H267" s="4"/>
      <c r="I267" s="4" t="s">
        <v>296</v>
      </c>
      <c r="J267" s="6"/>
      <c r="K267" s="16" t="n">
        <f aca="false">E267*F267*G267/1000000</f>
        <v>1.792224</v>
      </c>
    </row>
    <row r="268" customFormat="false" ht="15" hidden="false" customHeight="false" outlineLevel="0" collapsed="false">
      <c r="A268" s="4" t="n">
        <v>264</v>
      </c>
      <c r="B268" s="4" t="s">
        <v>227</v>
      </c>
      <c r="C268" s="4" t="s">
        <v>317</v>
      </c>
      <c r="D268" s="4" t="s">
        <v>52</v>
      </c>
      <c r="E268" s="4" t="n">
        <v>1</v>
      </c>
      <c r="F268" s="15" t="n">
        <v>1038.8</v>
      </c>
      <c r="G268" s="15" t="n">
        <v>50.8</v>
      </c>
      <c r="H268" s="4"/>
      <c r="I268" s="4" t="s">
        <v>297</v>
      </c>
      <c r="J268" s="6"/>
      <c r="K268" s="16" t="n">
        <f aca="false">E268*F268*G268/1000000</f>
        <v>0.05277104</v>
      </c>
    </row>
    <row r="269" customFormat="false" ht="15" hidden="false" customHeight="false" outlineLevel="0" collapsed="false">
      <c r="A269" s="4" t="n">
        <v>265</v>
      </c>
      <c r="B269" s="4" t="s">
        <v>227</v>
      </c>
      <c r="C269" s="4" t="s">
        <v>318</v>
      </c>
      <c r="D269" s="4" t="s">
        <v>52</v>
      </c>
      <c r="E269" s="4" t="n">
        <v>1</v>
      </c>
      <c r="F269" s="15" t="n">
        <v>1919.4</v>
      </c>
      <c r="G269" s="15" t="n">
        <v>50.8</v>
      </c>
      <c r="H269" s="4"/>
      <c r="I269" s="4" t="s">
        <v>302</v>
      </c>
      <c r="J269" s="6"/>
      <c r="K269" s="16" t="n">
        <f aca="false">E269*F269*G269/1000000</f>
        <v>0.09750552</v>
      </c>
    </row>
    <row r="270" customFormat="false" ht="15" hidden="false" customHeight="false" outlineLevel="0" collapsed="false">
      <c r="A270" s="4" t="n">
        <v>266</v>
      </c>
      <c r="B270" s="4" t="s">
        <v>227</v>
      </c>
      <c r="C270" s="4" t="s">
        <v>319</v>
      </c>
      <c r="D270" s="4" t="s">
        <v>52</v>
      </c>
      <c r="E270" s="4" t="n">
        <v>1</v>
      </c>
      <c r="F270" s="15" t="n">
        <v>648.6</v>
      </c>
      <c r="G270" s="15" t="n">
        <v>50.8</v>
      </c>
      <c r="H270" s="4"/>
      <c r="I270" s="4" t="s">
        <v>312</v>
      </c>
      <c r="J270" s="6"/>
      <c r="K270" s="16" t="n">
        <f aca="false">E270*F270*G270/1000000</f>
        <v>0.03294888</v>
      </c>
    </row>
    <row r="271" customFormat="false" ht="15" hidden="false" customHeight="false" outlineLevel="0" collapsed="false">
      <c r="A271" s="4" t="n">
        <v>267</v>
      </c>
      <c r="B271" s="4" t="s">
        <v>102</v>
      </c>
      <c r="C271" s="4" t="s">
        <v>320</v>
      </c>
      <c r="D271" s="4" t="s">
        <v>52</v>
      </c>
      <c r="E271" s="4" t="n">
        <v>1</v>
      </c>
      <c r="F271" s="15" t="n">
        <v>609.6</v>
      </c>
      <c r="G271" s="15" t="n">
        <v>609.6</v>
      </c>
      <c r="H271" s="4"/>
      <c r="I271" s="4" t="s">
        <v>282</v>
      </c>
      <c r="J271" s="6"/>
      <c r="K271" s="16" t="n">
        <f aca="false">E271*F271*G271/1000000</f>
        <v>0.37161216</v>
      </c>
    </row>
    <row r="272" customFormat="false" ht="15" hidden="false" customHeight="false" outlineLevel="0" collapsed="false">
      <c r="A272" s="4" t="n">
        <v>268</v>
      </c>
      <c r="B272" s="4" t="s">
        <v>235</v>
      </c>
      <c r="C272" s="4" t="s">
        <v>279</v>
      </c>
      <c r="D272" s="4" t="s">
        <v>52</v>
      </c>
      <c r="E272" s="4" t="n">
        <v>1</v>
      </c>
      <c r="F272" s="15" t="n">
        <v>914</v>
      </c>
      <c r="G272" s="15" t="n">
        <v>392</v>
      </c>
      <c r="H272" s="4"/>
      <c r="I272" s="4" t="s">
        <v>305</v>
      </c>
      <c r="J272" s="6"/>
      <c r="K272" s="16" t="n">
        <f aca="false">E272*F272*G272/1000000</f>
        <v>0.358288</v>
      </c>
    </row>
    <row r="273" customFormat="false" ht="15" hidden="false" customHeight="false" outlineLevel="0" collapsed="false">
      <c r="A273" s="4" t="n">
        <v>269</v>
      </c>
      <c r="B273" s="4" t="s">
        <v>235</v>
      </c>
      <c r="C273" s="4" t="s">
        <v>281</v>
      </c>
      <c r="D273" s="4" t="s">
        <v>52</v>
      </c>
      <c r="E273" s="4" t="n">
        <v>1</v>
      </c>
      <c r="F273" s="15" t="n">
        <v>392</v>
      </c>
      <c r="G273" s="15" t="n">
        <v>306</v>
      </c>
      <c r="H273" s="4"/>
      <c r="I273" s="4" t="s">
        <v>321</v>
      </c>
      <c r="J273" s="6"/>
      <c r="K273" s="16" t="n">
        <f aca="false">E273*F273*G273/1000000</f>
        <v>0.119952</v>
      </c>
    </row>
    <row r="274" customFormat="false" ht="15" hidden="false" customHeight="false" outlineLevel="0" collapsed="false">
      <c r="A274" s="4" t="n">
        <v>270</v>
      </c>
      <c r="B274" s="4" t="s">
        <v>235</v>
      </c>
      <c r="C274" s="4" t="s">
        <v>294</v>
      </c>
      <c r="D274" s="4" t="s">
        <v>52</v>
      </c>
      <c r="E274" s="4" t="n">
        <v>1</v>
      </c>
      <c r="F274" s="15" t="n">
        <v>862</v>
      </c>
      <c r="G274" s="15" t="n">
        <v>373</v>
      </c>
      <c r="H274" s="4" t="s">
        <v>284</v>
      </c>
      <c r="I274" s="4" t="s">
        <v>321</v>
      </c>
      <c r="J274" s="6"/>
      <c r="K274" s="16" t="n">
        <f aca="false">E274*F274*G274/1000000</f>
        <v>0.321526</v>
      </c>
    </row>
    <row r="275" customFormat="false" ht="15" hidden="false" customHeight="false" outlineLevel="0" collapsed="false">
      <c r="A275" s="4" t="n">
        <v>271</v>
      </c>
      <c r="B275" s="4" t="s">
        <v>235</v>
      </c>
      <c r="C275" s="4" t="s">
        <v>311</v>
      </c>
      <c r="D275" s="4" t="s">
        <v>52</v>
      </c>
      <c r="E275" s="4" t="n">
        <v>2</v>
      </c>
      <c r="F275" s="15" t="n">
        <v>341.2</v>
      </c>
      <c r="G275" s="15" t="n">
        <v>286</v>
      </c>
      <c r="H275" s="4"/>
      <c r="I275" s="4" t="s">
        <v>322</v>
      </c>
      <c r="J275" s="6"/>
      <c r="K275" s="16" t="n">
        <f aca="false">E275*F275*G275/1000000</f>
        <v>0.1951664</v>
      </c>
    </row>
    <row r="276" customFormat="false" ht="15" hidden="false" customHeight="false" outlineLevel="0" collapsed="false">
      <c r="A276" s="4" t="n">
        <v>272</v>
      </c>
      <c r="B276" s="4" t="s">
        <v>235</v>
      </c>
      <c r="C276" s="4" t="s">
        <v>293</v>
      </c>
      <c r="D276" s="4" t="s">
        <v>52</v>
      </c>
      <c r="E276" s="4" t="n">
        <v>2</v>
      </c>
      <c r="F276" s="15" t="n">
        <v>914</v>
      </c>
      <c r="G276" s="15" t="n">
        <v>310</v>
      </c>
      <c r="H276" s="4"/>
      <c r="I276" s="4" t="s">
        <v>323</v>
      </c>
      <c r="J276" s="6"/>
      <c r="K276" s="16" t="n">
        <f aca="false">E276*F276*G276/1000000</f>
        <v>0.56668</v>
      </c>
    </row>
    <row r="277" customFormat="false" ht="15" hidden="false" customHeight="false" outlineLevel="0" collapsed="false">
      <c r="A277" s="4" t="n">
        <v>273</v>
      </c>
      <c r="B277" s="4" t="s">
        <v>235</v>
      </c>
      <c r="C277" s="4" t="s">
        <v>313</v>
      </c>
      <c r="D277" s="4" t="s">
        <v>52</v>
      </c>
      <c r="E277" s="4" t="n">
        <v>1</v>
      </c>
      <c r="F277" s="15" t="n">
        <v>392</v>
      </c>
      <c r="G277" s="15" t="n">
        <v>306</v>
      </c>
      <c r="H277" s="4"/>
      <c r="I277" s="4" t="s">
        <v>287</v>
      </c>
      <c r="J277" s="6"/>
      <c r="K277" s="16" t="n">
        <f aca="false">E277*F277*G277/1000000</f>
        <v>0.119952</v>
      </c>
    </row>
    <row r="278" customFormat="false" ht="15" hidden="false" customHeight="false" outlineLevel="0" collapsed="false">
      <c r="A278" s="4" t="n">
        <v>274</v>
      </c>
      <c r="B278" s="4" t="s">
        <v>105</v>
      </c>
      <c r="C278" s="4" t="s">
        <v>279</v>
      </c>
      <c r="D278" s="4" t="s">
        <v>52</v>
      </c>
      <c r="E278" s="4" t="n">
        <v>1</v>
      </c>
      <c r="F278" s="15" t="n">
        <v>672</v>
      </c>
      <c r="G278" s="15" t="n">
        <v>612</v>
      </c>
      <c r="H278" s="4"/>
      <c r="I278" s="4" t="s">
        <v>282</v>
      </c>
      <c r="J278" s="6"/>
      <c r="K278" s="16" t="n">
        <f aca="false">E278*F278*G278/1000000</f>
        <v>0.411264</v>
      </c>
    </row>
    <row r="279" customFormat="false" ht="15" hidden="false" customHeight="false" outlineLevel="0" collapsed="false">
      <c r="A279" s="4" t="n">
        <v>275</v>
      </c>
      <c r="B279" s="4" t="s">
        <v>105</v>
      </c>
      <c r="C279" s="4" t="s">
        <v>281</v>
      </c>
      <c r="D279" s="4" t="s">
        <v>52</v>
      </c>
      <c r="E279" s="4" t="n">
        <v>1</v>
      </c>
      <c r="F279" s="15" t="n">
        <v>612</v>
      </c>
      <c r="G279" s="15" t="n">
        <v>306</v>
      </c>
      <c r="H279" s="4" t="s">
        <v>324</v>
      </c>
      <c r="I279" s="4" t="s">
        <v>312</v>
      </c>
      <c r="J279" s="6"/>
      <c r="K279" s="16" t="n">
        <f aca="false">E279*F279*G279/1000000</f>
        <v>0.187272</v>
      </c>
    </row>
    <row r="280" customFormat="false" ht="15" hidden="false" customHeight="false" outlineLevel="0" collapsed="false">
      <c r="A280" s="4" t="n">
        <v>276</v>
      </c>
      <c r="B280" s="4" t="s">
        <v>105</v>
      </c>
      <c r="C280" s="4" t="s">
        <v>294</v>
      </c>
      <c r="D280" s="4" t="s">
        <v>52</v>
      </c>
      <c r="E280" s="4" t="n">
        <v>1</v>
      </c>
      <c r="F280" s="15" t="n">
        <v>620</v>
      </c>
      <c r="G280" s="15" t="n">
        <v>593</v>
      </c>
      <c r="H280" s="4" t="s">
        <v>284</v>
      </c>
      <c r="I280" s="4" t="s">
        <v>282</v>
      </c>
      <c r="J280" s="6"/>
      <c r="K280" s="16" t="n">
        <f aca="false">E280*F280*G280/1000000</f>
        <v>0.36766</v>
      </c>
    </row>
    <row r="281" customFormat="false" ht="15" hidden="false" customHeight="false" outlineLevel="0" collapsed="false">
      <c r="A281" s="4" t="n">
        <v>277</v>
      </c>
      <c r="B281" s="4" t="s">
        <v>105</v>
      </c>
      <c r="C281" s="4" t="s">
        <v>311</v>
      </c>
      <c r="D281" s="4" t="s">
        <v>52</v>
      </c>
      <c r="E281" s="4" t="n">
        <v>2</v>
      </c>
      <c r="F281" s="15" t="n">
        <v>561.2</v>
      </c>
      <c r="G281" s="15" t="n">
        <v>185.2</v>
      </c>
      <c r="H281" s="4"/>
      <c r="I281" s="4" t="s">
        <v>325</v>
      </c>
      <c r="J281" s="6"/>
      <c r="K281" s="16" t="n">
        <f aca="false">E281*F281*G281/1000000</f>
        <v>0.20786848</v>
      </c>
    </row>
    <row r="282" customFormat="false" ht="15" hidden="false" customHeight="false" outlineLevel="0" collapsed="false">
      <c r="A282" s="4" t="n">
        <v>278</v>
      </c>
      <c r="B282" s="4" t="s">
        <v>105</v>
      </c>
      <c r="C282" s="4" t="s">
        <v>293</v>
      </c>
      <c r="D282" s="4" t="s">
        <v>52</v>
      </c>
      <c r="E282" s="4" t="n">
        <v>2</v>
      </c>
      <c r="F282" s="15" t="n">
        <v>672</v>
      </c>
      <c r="G282" s="15" t="n">
        <v>310</v>
      </c>
      <c r="H282" s="4"/>
      <c r="I282" s="4" t="s">
        <v>326</v>
      </c>
      <c r="J282" s="6"/>
      <c r="K282" s="16" t="n">
        <f aca="false">E282*F282*G282/1000000</f>
        <v>0.41664</v>
      </c>
    </row>
    <row r="283" customFormat="false" ht="15" hidden="false" customHeight="false" outlineLevel="0" collapsed="false">
      <c r="A283" s="4" t="n">
        <v>279</v>
      </c>
      <c r="B283" s="4" t="s">
        <v>105</v>
      </c>
      <c r="C283" s="4" t="s">
        <v>313</v>
      </c>
      <c r="D283" s="4" t="s">
        <v>52</v>
      </c>
      <c r="E283" s="4" t="n">
        <v>1</v>
      </c>
      <c r="F283" s="15" t="n">
        <v>612</v>
      </c>
      <c r="G283" s="15" t="n">
        <v>306</v>
      </c>
      <c r="H283" s="4" t="s">
        <v>327</v>
      </c>
      <c r="I283" s="4" t="s">
        <v>282</v>
      </c>
      <c r="J283" s="6"/>
      <c r="K283" s="16" t="n">
        <f aca="false">E283*F283*G283/1000000</f>
        <v>0.187272</v>
      </c>
    </row>
    <row r="284" customFormat="false" ht="15" hidden="false" customHeight="false" outlineLevel="0" collapsed="false">
      <c r="A284" s="4" t="n">
        <v>280</v>
      </c>
      <c r="B284" s="4" t="s">
        <v>240</v>
      </c>
      <c r="C284" s="4" t="s">
        <v>279</v>
      </c>
      <c r="D284" s="4" t="s">
        <v>52</v>
      </c>
      <c r="E284" s="4" t="n">
        <v>1</v>
      </c>
      <c r="F284" s="15" t="n">
        <v>914</v>
      </c>
      <c r="G284" s="15" t="n">
        <v>640.6</v>
      </c>
      <c r="H284" s="4" t="s">
        <v>308</v>
      </c>
      <c r="I284" s="4" t="s">
        <v>297</v>
      </c>
      <c r="J284" s="6"/>
      <c r="K284" s="16" t="n">
        <f aca="false">E284*F284*G284/1000000</f>
        <v>0.5855084</v>
      </c>
    </row>
    <row r="285" customFormat="false" ht="15" hidden="false" customHeight="false" outlineLevel="0" collapsed="false">
      <c r="A285" s="4" t="n">
        <v>281</v>
      </c>
      <c r="B285" s="4" t="s">
        <v>240</v>
      </c>
      <c r="C285" s="4" t="s">
        <v>281</v>
      </c>
      <c r="D285" s="4" t="s">
        <v>52</v>
      </c>
      <c r="E285" s="4" t="n">
        <v>1</v>
      </c>
      <c r="F285" s="15" t="n">
        <v>640.6</v>
      </c>
      <c r="G285" s="15" t="n">
        <v>306</v>
      </c>
      <c r="H285" s="4" t="s">
        <v>308</v>
      </c>
      <c r="I285" s="4" t="s">
        <v>285</v>
      </c>
      <c r="J285" s="6"/>
      <c r="K285" s="16" t="n">
        <f aca="false">E285*F285*G285/1000000</f>
        <v>0.1960236</v>
      </c>
    </row>
    <row r="286" customFormat="false" ht="15" hidden="false" customHeight="false" outlineLevel="0" collapsed="false">
      <c r="A286" s="4" t="n">
        <v>282</v>
      </c>
      <c r="B286" s="4" t="s">
        <v>240</v>
      </c>
      <c r="C286" s="4" t="s">
        <v>294</v>
      </c>
      <c r="D286" s="4" t="s">
        <v>52</v>
      </c>
      <c r="E286" s="4" t="n">
        <v>2</v>
      </c>
      <c r="F286" s="15" t="n">
        <v>862</v>
      </c>
      <c r="G286" s="15" t="n">
        <v>297.3</v>
      </c>
      <c r="H286" s="4" t="s">
        <v>284</v>
      </c>
      <c r="I286" s="4" t="s">
        <v>286</v>
      </c>
      <c r="J286" s="6"/>
      <c r="K286" s="16" t="n">
        <f aca="false">E286*F286*G286/1000000</f>
        <v>0.5125452</v>
      </c>
    </row>
    <row r="287" customFormat="false" ht="15" hidden="false" customHeight="false" outlineLevel="0" collapsed="false">
      <c r="A287" s="4" t="n">
        <v>283</v>
      </c>
      <c r="B287" s="4" t="s">
        <v>240</v>
      </c>
      <c r="C287" s="4" t="s">
        <v>309</v>
      </c>
      <c r="D287" s="4" t="s">
        <v>52</v>
      </c>
      <c r="E287" s="4" t="n">
        <v>1</v>
      </c>
      <c r="F287" s="15" t="n">
        <v>914</v>
      </c>
      <c r="G287" s="15" t="n">
        <v>153.4</v>
      </c>
      <c r="H287" s="4"/>
      <c r="I287" s="4" t="s">
        <v>297</v>
      </c>
      <c r="J287" s="6"/>
      <c r="K287" s="16" t="n">
        <f aca="false">E287*F287*G287/1000000</f>
        <v>0.1402076</v>
      </c>
    </row>
    <row r="288" customFormat="false" ht="15" hidden="false" customHeight="false" outlineLevel="0" collapsed="false">
      <c r="A288" s="4" t="n">
        <v>284</v>
      </c>
      <c r="B288" s="4" t="s">
        <v>240</v>
      </c>
      <c r="C288" s="4" t="s">
        <v>310</v>
      </c>
      <c r="D288" s="4" t="s">
        <v>52</v>
      </c>
      <c r="E288" s="4" t="n">
        <v>1</v>
      </c>
      <c r="F288" s="15" t="n">
        <v>914</v>
      </c>
      <c r="G288" s="15" t="n">
        <v>124</v>
      </c>
      <c r="H288" s="4"/>
      <c r="I288" s="4" t="s">
        <v>305</v>
      </c>
      <c r="J288" s="6"/>
      <c r="K288" s="16" t="n">
        <f aca="false">E288*F288*G288/1000000</f>
        <v>0.113336</v>
      </c>
    </row>
    <row r="289" customFormat="false" ht="15" hidden="false" customHeight="false" outlineLevel="0" collapsed="false">
      <c r="A289" s="4" t="n">
        <v>285</v>
      </c>
      <c r="B289" s="4" t="s">
        <v>240</v>
      </c>
      <c r="C289" s="4" t="s">
        <v>311</v>
      </c>
      <c r="D289" s="4" t="s">
        <v>52</v>
      </c>
      <c r="E289" s="4" t="n">
        <v>2</v>
      </c>
      <c r="F289" s="15" t="n">
        <v>589.8</v>
      </c>
      <c r="G289" s="15" t="n">
        <v>286</v>
      </c>
      <c r="H289" s="4" t="s">
        <v>308</v>
      </c>
      <c r="I289" s="4" t="s">
        <v>328</v>
      </c>
      <c r="J289" s="6"/>
      <c r="K289" s="16" t="n">
        <f aca="false">E289*F289*G289/1000000</f>
        <v>0.3373656</v>
      </c>
    </row>
    <row r="290" customFormat="false" ht="15" hidden="false" customHeight="false" outlineLevel="0" collapsed="false">
      <c r="A290" s="4" t="n">
        <v>286</v>
      </c>
      <c r="B290" s="4" t="s">
        <v>240</v>
      </c>
      <c r="C290" s="4" t="s">
        <v>293</v>
      </c>
      <c r="D290" s="4" t="s">
        <v>52</v>
      </c>
      <c r="E290" s="4" t="n">
        <v>1</v>
      </c>
      <c r="F290" s="15" t="n">
        <v>914</v>
      </c>
      <c r="G290" s="15" t="n">
        <v>310</v>
      </c>
      <c r="H290" s="4"/>
      <c r="I290" s="4" t="s">
        <v>321</v>
      </c>
      <c r="J290" s="6"/>
      <c r="K290" s="16" t="n">
        <f aca="false">E290*F290*G290/1000000</f>
        <v>0.28334</v>
      </c>
    </row>
    <row r="291" customFormat="false" ht="15" hidden="false" customHeight="false" outlineLevel="0" collapsed="false">
      <c r="A291" s="4" t="n">
        <v>287</v>
      </c>
      <c r="B291" s="4" t="s">
        <v>240</v>
      </c>
      <c r="C291" s="4" t="s">
        <v>293</v>
      </c>
      <c r="D291" s="4" t="s">
        <v>52</v>
      </c>
      <c r="E291" s="4" t="n">
        <v>1</v>
      </c>
      <c r="F291" s="15" t="n">
        <v>914</v>
      </c>
      <c r="G291" s="15" t="n">
        <v>310</v>
      </c>
      <c r="H291" s="4" t="s">
        <v>308</v>
      </c>
      <c r="I291" s="4" t="s">
        <v>302</v>
      </c>
      <c r="J291" s="6"/>
      <c r="K291" s="16" t="n">
        <f aca="false">E291*F291*G291/1000000</f>
        <v>0.28334</v>
      </c>
    </row>
    <row r="292" customFormat="false" ht="15" hidden="false" customHeight="false" outlineLevel="0" collapsed="false">
      <c r="A292" s="4" t="n">
        <v>288</v>
      </c>
      <c r="B292" s="4" t="s">
        <v>240</v>
      </c>
      <c r="C292" s="4" t="s">
        <v>313</v>
      </c>
      <c r="D292" s="4" t="s">
        <v>52</v>
      </c>
      <c r="E292" s="4" t="n">
        <v>1</v>
      </c>
      <c r="F292" s="15" t="n">
        <v>640.6</v>
      </c>
      <c r="G292" s="15" t="n">
        <v>306</v>
      </c>
      <c r="H292" s="4" t="s">
        <v>308</v>
      </c>
      <c r="I292" s="4" t="s">
        <v>282</v>
      </c>
      <c r="J292" s="6"/>
      <c r="K292" s="16" t="n">
        <f aca="false">E292*F292*G292/1000000</f>
        <v>0.1960236</v>
      </c>
    </row>
    <row r="293" customFormat="false" ht="15" hidden="false" customHeight="false" outlineLevel="0" collapsed="false">
      <c r="A293" s="4" t="n">
        <v>289</v>
      </c>
      <c r="B293" s="4" t="s">
        <v>114</v>
      </c>
      <c r="C293" s="4" t="s">
        <v>279</v>
      </c>
      <c r="D293" s="4" t="s">
        <v>52</v>
      </c>
      <c r="E293" s="4" t="n">
        <v>1</v>
      </c>
      <c r="F293" s="15" t="n">
        <v>914</v>
      </c>
      <c r="G293" s="15" t="n">
        <v>862</v>
      </c>
      <c r="H293" s="4"/>
      <c r="I293" s="4" t="s">
        <v>312</v>
      </c>
      <c r="J293" s="6"/>
      <c r="K293" s="16" t="n">
        <f aca="false">E293*F293*G293/1000000</f>
        <v>0.787868</v>
      </c>
    </row>
    <row r="294" customFormat="false" ht="15" hidden="false" customHeight="false" outlineLevel="0" collapsed="false">
      <c r="A294" s="4" t="n">
        <v>290</v>
      </c>
      <c r="B294" s="4" t="s">
        <v>114</v>
      </c>
      <c r="C294" s="4" t="s">
        <v>281</v>
      </c>
      <c r="D294" s="4" t="s">
        <v>52</v>
      </c>
      <c r="E294" s="4" t="n">
        <v>1</v>
      </c>
      <c r="F294" s="15" t="n">
        <v>862</v>
      </c>
      <c r="G294" s="15" t="n">
        <v>306</v>
      </c>
      <c r="H294" s="4"/>
      <c r="I294" s="4" t="s">
        <v>286</v>
      </c>
      <c r="J294" s="6"/>
      <c r="K294" s="16" t="n">
        <f aca="false">E294*F294*G294/1000000</f>
        <v>0.263772</v>
      </c>
    </row>
    <row r="295" customFormat="false" ht="15" hidden="false" customHeight="false" outlineLevel="0" collapsed="false">
      <c r="A295" s="4" t="n">
        <v>291</v>
      </c>
      <c r="B295" s="4" t="s">
        <v>114</v>
      </c>
      <c r="C295" s="4" t="s">
        <v>294</v>
      </c>
      <c r="D295" s="4" t="s">
        <v>52</v>
      </c>
      <c r="E295" s="4" t="n">
        <v>2</v>
      </c>
      <c r="F295" s="15" t="n">
        <v>862</v>
      </c>
      <c r="G295" s="15" t="n">
        <v>408</v>
      </c>
      <c r="H295" s="4" t="s">
        <v>284</v>
      </c>
      <c r="I295" s="4" t="s">
        <v>329</v>
      </c>
      <c r="J295" s="6"/>
      <c r="K295" s="16" t="n">
        <f aca="false">E295*F295*G295/1000000</f>
        <v>0.703392</v>
      </c>
    </row>
    <row r="296" customFormat="false" ht="15" hidden="false" customHeight="false" outlineLevel="0" collapsed="false">
      <c r="A296" s="4" t="n">
        <v>292</v>
      </c>
      <c r="B296" s="4" t="s">
        <v>114</v>
      </c>
      <c r="C296" s="4" t="s">
        <v>293</v>
      </c>
      <c r="D296" s="4" t="s">
        <v>52</v>
      </c>
      <c r="E296" s="4" t="n">
        <v>2</v>
      </c>
      <c r="F296" s="15" t="n">
        <v>914</v>
      </c>
      <c r="G296" s="15" t="n">
        <v>310</v>
      </c>
      <c r="H296" s="4"/>
      <c r="I296" s="4" t="s">
        <v>330</v>
      </c>
      <c r="J296" s="6"/>
      <c r="K296" s="16" t="n">
        <f aca="false">E296*F296*G296/1000000</f>
        <v>0.56668</v>
      </c>
    </row>
    <row r="297" customFormat="false" ht="15" hidden="false" customHeight="false" outlineLevel="0" collapsed="false">
      <c r="A297" s="4" t="n">
        <v>293</v>
      </c>
      <c r="B297" s="4" t="s">
        <v>114</v>
      </c>
      <c r="C297" s="4" t="s">
        <v>313</v>
      </c>
      <c r="D297" s="4" t="s">
        <v>52</v>
      </c>
      <c r="E297" s="4" t="n">
        <v>1</v>
      </c>
      <c r="F297" s="15" t="n">
        <v>862</v>
      </c>
      <c r="G297" s="15" t="n">
        <v>306</v>
      </c>
      <c r="H297" s="4"/>
      <c r="I297" s="4" t="s">
        <v>286</v>
      </c>
      <c r="J297" s="6"/>
      <c r="K297" s="16" t="n">
        <f aca="false">E297*F297*G297/1000000</f>
        <v>0.263772</v>
      </c>
    </row>
    <row r="298" customFormat="false" ht="15" hidden="false" customHeight="false" outlineLevel="0" collapsed="false">
      <c r="A298" s="4" t="n">
        <v>294</v>
      </c>
      <c r="B298" s="4" t="s">
        <v>111</v>
      </c>
      <c r="C298" s="4" t="s">
        <v>331</v>
      </c>
      <c r="D298" s="4" t="s">
        <v>52</v>
      </c>
      <c r="E298" s="4" t="n">
        <v>1</v>
      </c>
      <c r="F298" s="15" t="n">
        <v>876</v>
      </c>
      <c r="G298" s="15" t="n">
        <v>486</v>
      </c>
      <c r="H298" s="4"/>
      <c r="I298" s="4" t="s">
        <v>285</v>
      </c>
      <c r="J298" s="6"/>
      <c r="K298" s="16" t="n">
        <f aca="false">E298*F298*G298/1000000</f>
        <v>0.425736</v>
      </c>
    </row>
    <row r="299" customFormat="false" ht="15" hidden="false" customHeight="false" outlineLevel="0" collapsed="false">
      <c r="A299" s="4" t="n">
        <v>295</v>
      </c>
      <c r="B299" s="4" t="s">
        <v>111</v>
      </c>
      <c r="C299" s="4" t="s">
        <v>332</v>
      </c>
      <c r="D299" s="4" t="s">
        <v>52</v>
      </c>
      <c r="E299" s="4" t="n">
        <v>1</v>
      </c>
      <c r="F299" s="15" t="n">
        <v>876</v>
      </c>
      <c r="G299" s="15" t="n">
        <v>610</v>
      </c>
      <c r="H299" s="4"/>
      <c r="I299" s="4" t="s">
        <v>312</v>
      </c>
      <c r="J299" s="6"/>
      <c r="K299" s="16" t="n">
        <f aca="false">E299*F299*G299/1000000</f>
        <v>0.53436</v>
      </c>
    </row>
    <row r="300" customFormat="false" ht="15" hidden="false" customHeight="false" outlineLevel="0" collapsed="false">
      <c r="A300" s="4" t="n">
        <v>296</v>
      </c>
      <c r="B300" s="4" t="s">
        <v>134</v>
      </c>
      <c r="C300" s="4" t="s">
        <v>333</v>
      </c>
      <c r="D300" s="4" t="s">
        <v>55</v>
      </c>
      <c r="E300" s="4" t="n">
        <v>1</v>
      </c>
      <c r="F300" s="15" t="n">
        <v>1825.2</v>
      </c>
      <c r="G300" s="15" t="n">
        <v>968.4</v>
      </c>
      <c r="H300" s="4" t="s">
        <v>334</v>
      </c>
      <c r="I300" s="4"/>
      <c r="J300" s="6"/>
      <c r="K300" s="16" t="n">
        <f aca="false">E300*F300*G300/1000000</f>
        <v>1.76752368</v>
      </c>
    </row>
    <row r="301" customFormat="false" ht="15" hidden="false" customHeight="false" outlineLevel="0" collapsed="false">
      <c r="A301" s="4" t="n">
        <v>297</v>
      </c>
      <c r="B301" s="4" t="s">
        <v>335</v>
      </c>
      <c r="C301" s="4" t="s">
        <v>336</v>
      </c>
      <c r="D301" s="4" t="s">
        <v>55</v>
      </c>
      <c r="E301" s="4" t="n">
        <v>1</v>
      </c>
      <c r="F301" s="15" t="n">
        <v>1270</v>
      </c>
      <c r="G301" s="15" t="n">
        <v>635</v>
      </c>
      <c r="H301" s="4" t="s">
        <v>334</v>
      </c>
      <c r="I301" s="4"/>
      <c r="J301" s="6"/>
      <c r="K301" s="16" t="n">
        <f aca="false">E301*F301*G301/1000000</f>
        <v>0.80645</v>
      </c>
    </row>
    <row r="302" customFormat="false" ht="15" hidden="false" customHeight="false" outlineLevel="0" collapsed="false">
      <c r="A302" s="4" t="n">
        <v>298</v>
      </c>
      <c r="B302" s="4" t="s">
        <v>111</v>
      </c>
      <c r="C302" s="4" t="s">
        <v>337</v>
      </c>
      <c r="D302" s="4" t="s">
        <v>55</v>
      </c>
      <c r="E302" s="4" t="n">
        <v>1</v>
      </c>
      <c r="F302" s="15" t="n">
        <v>678</v>
      </c>
      <c r="G302" s="15" t="n">
        <v>635</v>
      </c>
      <c r="H302" s="4" t="s">
        <v>334</v>
      </c>
      <c r="I302" s="4"/>
      <c r="J302" s="6"/>
      <c r="K302" s="16" t="n">
        <f aca="false">E302*F302*G302/1000000</f>
        <v>0.43053</v>
      </c>
    </row>
  </sheetData>
  <autoFilter ref="A4:K30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110"/>
    <col collapsed="false" customWidth="true" hidden="false" outlineLevel="0" max="7" min="6" style="0" width="10"/>
  </cols>
  <sheetData>
    <row r="1" customFormat="false" ht="17.35" hidden="false" customHeight="false" outlineLevel="0" collapsed="false">
      <c r="A1" s="1" t="s">
        <v>338</v>
      </c>
    </row>
    <row r="2" customFormat="false" ht="15" hidden="false" customHeight="false" outlineLevel="0" collapsed="false">
      <c r="A2" s="2" t="s">
        <v>339</v>
      </c>
    </row>
    <row r="4" customFormat="false" ht="15" hidden="false" customHeight="false" outlineLevel="0" collapsed="false">
      <c r="A4" s="3" t="s">
        <v>340</v>
      </c>
      <c r="B4" s="3" t="s">
        <v>156</v>
      </c>
      <c r="C4" s="3" t="s">
        <v>341</v>
      </c>
      <c r="D4" s="3" t="s">
        <v>342</v>
      </c>
      <c r="E4" s="3" t="s">
        <v>343</v>
      </c>
      <c r="F4" s="3" t="s">
        <v>344</v>
      </c>
      <c r="G4" s="3" t="s">
        <v>345</v>
      </c>
    </row>
    <row r="5" customFormat="false" ht="15" hidden="false" customHeight="false" outlineLevel="0" collapsed="false">
      <c r="A5" s="4" t="s">
        <v>218</v>
      </c>
      <c r="B5" s="4" t="s">
        <v>44</v>
      </c>
      <c r="C5" s="4" t="n">
        <v>6400</v>
      </c>
      <c r="D5" s="4" t="n">
        <v>4</v>
      </c>
      <c r="E5" s="9" t="s">
        <v>346</v>
      </c>
      <c r="F5" s="4" t="n">
        <v>6379.8</v>
      </c>
      <c r="G5" s="5" t="n">
        <f aca="false">C5-F5-20</f>
        <v>0.199999999999818</v>
      </c>
    </row>
    <row r="6" customFormat="false" ht="15" hidden="false" customHeight="false" outlineLevel="0" collapsed="false">
      <c r="A6" s="4" t="s">
        <v>214</v>
      </c>
      <c r="B6" s="4" t="s">
        <v>44</v>
      </c>
      <c r="C6" s="4" t="n">
        <v>6400</v>
      </c>
      <c r="D6" s="4" t="n">
        <v>4</v>
      </c>
      <c r="E6" s="9" t="s">
        <v>347</v>
      </c>
      <c r="F6" s="4" t="n">
        <v>6378.2</v>
      </c>
      <c r="G6" s="5" t="n">
        <f aca="false">C6-F6-20</f>
        <v>1.80000000000018</v>
      </c>
    </row>
    <row r="7" customFormat="false" ht="15" hidden="false" customHeight="false" outlineLevel="0" collapsed="false">
      <c r="A7" s="4" t="s">
        <v>215</v>
      </c>
      <c r="B7" s="4" t="s">
        <v>44</v>
      </c>
      <c r="C7" s="4" t="n">
        <v>6400</v>
      </c>
      <c r="D7" s="4" t="n">
        <v>4</v>
      </c>
      <c r="E7" s="9" t="s">
        <v>348</v>
      </c>
      <c r="F7" s="4" t="n">
        <v>6378.2</v>
      </c>
      <c r="G7" s="5" t="n">
        <f aca="false">C7-F7-20</f>
        <v>1.80000000000018</v>
      </c>
    </row>
    <row r="8" customFormat="false" ht="15" hidden="false" customHeight="false" outlineLevel="0" collapsed="false">
      <c r="A8" s="4" t="s">
        <v>174</v>
      </c>
      <c r="B8" s="4" t="s">
        <v>44</v>
      </c>
      <c r="C8" s="4" t="n">
        <v>6400</v>
      </c>
      <c r="D8" s="4" t="n">
        <v>5</v>
      </c>
      <c r="E8" s="9" t="s">
        <v>349</v>
      </c>
      <c r="F8" s="4" t="n">
        <v>6370.6</v>
      </c>
      <c r="G8" s="5" t="n">
        <f aca="false">C8-F8-20</f>
        <v>9.39999999999964</v>
      </c>
    </row>
    <row r="9" customFormat="false" ht="15" hidden="false" customHeight="false" outlineLevel="0" collapsed="false">
      <c r="A9" s="4" t="s">
        <v>241</v>
      </c>
      <c r="B9" s="4" t="s">
        <v>44</v>
      </c>
      <c r="C9" s="4" t="n">
        <v>6400</v>
      </c>
      <c r="D9" s="4" t="n">
        <v>7</v>
      </c>
      <c r="E9" s="9" t="s">
        <v>350</v>
      </c>
      <c r="F9" s="4" t="n">
        <v>6360</v>
      </c>
      <c r="G9" s="5" t="n">
        <f aca="false">C9-F9-20</f>
        <v>20</v>
      </c>
    </row>
    <row r="10" customFormat="false" ht="15" hidden="false" customHeight="false" outlineLevel="0" collapsed="false">
      <c r="A10" s="4" t="s">
        <v>196</v>
      </c>
      <c r="B10" s="4" t="s">
        <v>44</v>
      </c>
      <c r="C10" s="4" t="n">
        <v>6400</v>
      </c>
      <c r="D10" s="4" t="n">
        <v>8</v>
      </c>
      <c r="E10" s="9" t="s">
        <v>351</v>
      </c>
      <c r="F10" s="4" t="n">
        <v>6313.4</v>
      </c>
      <c r="G10" s="5" t="n">
        <f aca="false">C10-F10-20</f>
        <v>66.6000000000004</v>
      </c>
    </row>
    <row r="11" customFormat="false" ht="15" hidden="false" customHeight="false" outlineLevel="0" collapsed="false">
      <c r="A11" s="4" t="s">
        <v>200</v>
      </c>
      <c r="B11" s="4" t="s">
        <v>44</v>
      </c>
      <c r="C11" s="4" t="n">
        <v>6400</v>
      </c>
      <c r="D11" s="4" t="n">
        <v>8</v>
      </c>
      <c r="E11" s="9" t="s">
        <v>352</v>
      </c>
      <c r="F11" s="4" t="n">
        <v>6357.4</v>
      </c>
      <c r="G11" s="5" t="n">
        <f aca="false">C11-F11-20</f>
        <v>22.6000000000004</v>
      </c>
    </row>
    <row r="12" customFormat="false" ht="15" hidden="false" customHeight="false" outlineLevel="0" collapsed="false">
      <c r="A12" s="4" t="s">
        <v>191</v>
      </c>
      <c r="B12" s="4" t="s">
        <v>44</v>
      </c>
      <c r="C12" s="4" t="n">
        <v>6400</v>
      </c>
      <c r="D12" s="4" t="n">
        <v>8</v>
      </c>
      <c r="E12" s="9" t="s">
        <v>353</v>
      </c>
      <c r="F12" s="4" t="n">
        <v>6354.6</v>
      </c>
      <c r="G12" s="5" t="n">
        <f aca="false">C12-F12-20</f>
        <v>25.3999999999996</v>
      </c>
    </row>
    <row r="13" customFormat="false" ht="15" hidden="false" customHeight="false" outlineLevel="0" collapsed="false">
      <c r="A13" s="4" t="s">
        <v>178</v>
      </c>
      <c r="B13" s="4" t="s">
        <v>44</v>
      </c>
      <c r="C13" s="4" t="n">
        <v>6400</v>
      </c>
      <c r="D13" s="4" t="n">
        <v>8</v>
      </c>
      <c r="E13" s="9" t="s">
        <v>354</v>
      </c>
      <c r="F13" s="4" t="n">
        <v>6353.8</v>
      </c>
      <c r="G13" s="5" t="n">
        <f aca="false">C13-F13-20</f>
        <v>26.1999999999998</v>
      </c>
    </row>
    <row r="14" customFormat="false" ht="15" hidden="false" customHeight="false" outlineLevel="0" collapsed="false">
      <c r="A14" s="4" t="s">
        <v>192</v>
      </c>
      <c r="B14" s="4" t="s">
        <v>44</v>
      </c>
      <c r="C14" s="4" t="n">
        <v>6400</v>
      </c>
      <c r="D14" s="4" t="n">
        <v>9</v>
      </c>
      <c r="E14" s="9" t="s">
        <v>355</v>
      </c>
      <c r="F14" s="4" t="n">
        <v>6300</v>
      </c>
      <c r="G14" s="5" t="n">
        <f aca="false">C14-F14-20</f>
        <v>80</v>
      </c>
    </row>
    <row r="15" customFormat="false" ht="15" hidden="false" customHeight="false" outlineLevel="0" collapsed="false">
      <c r="A15" s="4" t="s">
        <v>208</v>
      </c>
      <c r="B15" s="4" t="s">
        <v>44</v>
      </c>
      <c r="C15" s="4" t="n">
        <v>6400</v>
      </c>
      <c r="D15" s="4" t="n">
        <v>9</v>
      </c>
      <c r="E15" s="9" t="s">
        <v>356</v>
      </c>
      <c r="F15" s="4" t="n">
        <v>6300</v>
      </c>
      <c r="G15" s="5" t="n">
        <f aca="false">C15-F15-20</f>
        <v>80</v>
      </c>
    </row>
    <row r="16" customFormat="false" ht="15" hidden="false" customHeight="false" outlineLevel="0" collapsed="false">
      <c r="A16" s="4" t="s">
        <v>189</v>
      </c>
      <c r="B16" s="4" t="s">
        <v>44</v>
      </c>
      <c r="C16" s="4" t="n">
        <v>6400</v>
      </c>
      <c r="D16" s="4" t="n">
        <v>9</v>
      </c>
      <c r="E16" s="9" t="s">
        <v>357</v>
      </c>
      <c r="F16" s="4" t="n">
        <v>6366.6</v>
      </c>
      <c r="G16" s="5" t="n">
        <f aca="false">C16-F16-20</f>
        <v>13.3999999999996</v>
      </c>
    </row>
    <row r="17" customFormat="false" ht="15" hidden="false" customHeight="false" outlineLevel="0" collapsed="false">
      <c r="A17" s="4" t="s">
        <v>203</v>
      </c>
      <c r="B17" s="4" t="s">
        <v>44</v>
      </c>
      <c r="C17" s="4" t="n">
        <v>6400</v>
      </c>
      <c r="D17" s="4" t="n">
        <v>10</v>
      </c>
      <c r="E17" s="9" t="s">
        <v>358</v>
      </c>
      <c r="F17" s="4" t="n">
        <v>6379.2</v>
      </c>
      <c r="G17" s="5" t="n">
        <f aca="false">C17-F17-20</f>
        <v>0.800000000000182</v>
      </c>
    </row>
    <row r="18" customFormat="false" ht="15" hidden="false" customHeight="false" outlineLevel="0" collapsed="false">
      <c r="A18" s="4" t="s">
        <v>207</v>
      </c>
      <c r="B18" s="4" t="s">
        <v>44</v>
      </c>
      <c r="C18" s="4" t="n">
        <v>6400</v>
      </c>
      <c r="D18" s="4" t="n">
        <v>11</v>
      </c>
      <c r="E18" s="9" t="s">
        <v>359</v>
      </c>
      <c r="F18" s="4" t="n">
        <v>6327.6</v>
      </c>
      <c r="G18" s="5" t="n">
        <f aca="false">C18-F18-20</f>
        <v>52.3999999999996</v>
      </c>
    </row>
    <row r="19" customFormat="false" ht="15" hidden="false" customHeight="false" outlineLevel="0" collapsed="false">
      <c r="A19" s="4" t="s">
        <v>232</v>
      </c>
      <c r="B19" s="4" t="s">
        <v>44</v>
      </c>
      <c r="C19" s="4" t="n">
        <v>6400</v>
      </c>
      <c r="D19" s="4" t="n">
        <v>12</v>
      </c>
      <c r="E19" s="9" t="s">
        <v>360</v>
      </c>
      <c r="F19" s="4" t="n">
        <v>6364.8</v>
      </c>
      <c r="G19" s="5" t="n">
        <f aca="false">C19-F19-20</f>
        <v>15.1999999999998</v>
      </c>
    </row>
    <row r="20" customFormat="false" ht="26.85" hidden="false" customHeight="false" outlineLevel="0" collapsed="false">
      <c r="A20" s="4" t="s">
        <v>193</v>
      </c>
      <c r="B20" s="4" t="s">
        <v>44</v>
      </c>
      <c r="C20" s="4" t="n">
        <v>6400</v>
      </c>
      <c r="D20" s="4" t="n">
        <v>13</v>
      </c>
      <c r="E20" s="9" t="s">
        <v>361</v>
      </c>
      <c r="F20" s="4" t="n">
        <v>6373.1</v>
      </c>
      <c r="G20" s="5" t="n">
        <f aca="false">C20-F20-20</f>
        <v>6.89999999999964</v>
      </c>
    </row>
    <row r="21" customFormat="false" ht="26.85" hidden="false" customHeight="false" outlineLevel="0" collapsed="false">
      <c r="A21" s="4" t="s">
        <v>186</v>
      </c>
      <c r="B21" s="4" t="s">
        <v>44</v>
      </c>
      <c r="C21" s="4" t="n">
        <v>6400</v>
      </c>
      <c r="D21" s="4" t="n">
        <v>13</v>
      </c>
      <c r="E21" s="9" t="s">
        <v>362</v>
      </c>
      <c r="F21" s="4" t="n">
        <v>6341.2</v>
      </c>
      <c r="G21" s="5" t="n">
        <f aca="false">C21-F21-20</f>
        <v>38.8000000000002</v>
      </c>
    </row>
    <row r="22" customFormat="false" ht="26.85" hidden="false" customHeight="false" outlineLevel="0" collapsed="false">
      <c r="A22" s="4" t="s">
        <v>206</v>
      </c>
      <c r="B22" s="4" t="s">
        <v>44</v>
      </c>
      <c r="C22" s="4" t="n">
        <v>6400</v>
      </c>
      <c r="D22" s="4" t="n">
        <v>13</v>
      </c>
      <c r="E22" s="9" t="s">
        <v>363</v>
      </c>
      <c r="F22" s="4" t="n">
        <v>6333.2</v>
      </c>
      <c r="G22" s="5" t="n">
        <f aca="false">C22-F22-20</f>
        <v>46.8000000000002</v>
      </c>
    </row>
    <row r="23" customFormat="false" ht="26.85" hidden="false" customHeight="false" outlineLevel="0" collapsed="false">
      <c r="A23" s="4" t="s">
        <v>204</v>
      </c>
      <c r="B23" s="4" t="s">
        <v>44</v>
      </c>
      <c r="C23" s="4" t="n">
        <v>6400</v>
      </c>
      <c r="D23" s="4" t="n">
        <v>14</v>
      </c>
      <c r="E23" s="9" t="s">
        <v>364</v>
      </c>
      <c r="F23" s="4" t="n">
        <v>6367.8</v>
      </c>
      <c r="G23" s="5" t="n">
        <f aca="false">C23-F23-20</f>
        <v>12.1999999999998</v>
      </c>
    </row>
    <row r="24" customFormat="false" ht="26.85" hidden="false" customHeight="false" outlineLevel="0" collapsed="false">
      <c r="A24" s="4" t="s">
        <v>168</v>
      </c>
      <c r="B24" s="4" t="s">
        <v>44</v>
      </c>
      <c r="C24" s="4" t="n">
        <v>6400</v>
      </c>
      <c r="D24" s="4" t="n">
        <v>16</v>
      </c>
      <c r="E24" s="9" t="s">
        <v>365</v>
      </c>
      <c r="F24" s="4" t="n">
        <v>6333.4</v>
      </c>
      <c r="G24" s="5" t="n">
        <f aca="false">C24-F24-20</f>
        <v>46.6000000000004</v>
      </c>
    </row>
    <row r="25" customFormat="false" ht="26.85" hidden="false" customHeight="false" outlineLevel="0" collapsed="false">
      <c r="A25" s="4" t="s">
        <v>181</v>
      </c>
      <c r="B25" s="4" t="s">
        <v>44</v>
      </c>
      <c r="C25" s="4" t="n">
        <v>6400</v>
      </c>
      <c r="D25" s="4" t="n">
        <v>18</v>
      </c>
      <c r="E25" s="9" t="s">
        <v>366</v>
      </c>
      <c r="F25" s="4" t="n">
        <v>6341.4</v>
      </c>
      <c r="G25" s="5" t="n">
        <f aca="false">C25-F25-20</f>
        <v>38.6000000000004</v>
      </c>
    </row>
    <row r="26" customFormat="false" ht="26.85" hidden="false" customHeight="false" outlineLevel="0" collapsed="false">
      <c r="A26" s="4" t="s">
        <v>202</v>
      </c>
      <c r="B26" s="4" t="s">
        <v>44</v>
      </c>
      <c r="C26" s="4" t="n">
        <v>6400</v>
      </c>
      <c r="D26" s="4" t="n">
        <v>20</v>
      </c>
      <c r="E26" s="9" t="s">
        <v>367</v>
      </c>
      <c r="F26" s="4" t="n">
        <v>6323</v>
      </c>
      <c r="G26" s="5" t="n">
        <f aca="false">C26-F26-20</f>
        <v>57</v>
      </c>
    </row>
    <row r="27" customFormat="false" ht="26.85" hidden="false" customHeight="false" outlineLevel="0" collapsed="false">
      <c r="A27" s="4" t="s">
        <v>164</v>
      </c>
      <c r="B27" s="4" t="s">
        <v>44</v>
      </c>
      <c r="C27" s="4" t="n">
        <v>6400</v>
      </c>
      <c r="D27" s="4" t="n">
        <v>21</v>
      </c>
      <c r="E27" s="9" t="s">
        <v>368</v>
      </c>
      <c r="F27" s="4" t="n">
        <v>6317.8</v>
      </c>
      <c r="G27" s="5" t="n">
        <f aca="false">C27-F27-20</f>
        <v>62.1999999999998</v>
      </c>
    </row>
    <row r="28" customFormat="false" ht="39.55" hidden="false" customHeight="false" outlineLevel="0" collapsed="false">
      <c r="A28" s="4" t="s">
        <v>166</v>
      </c>
      <c r="B28" s="4" t="s">
        <v>44</v>
      </c>
      <c r="C28" s="4" t="n">
        <v>6400</v>
      </c>
      <c r="D28" s="4" t="n">
        <v>28</v>
      </c>
      <c r="E28" s="9" t="s">
        <v>369</v>
      </c>
      <c r="F28" s="4" t="n">
        <v>4403.6</v>
      </c>
      <c r="G28" s="5" t="n">
        <f aca="false">C28-F28-20</f>
        <v>1976.4</v>
      </c>
    </row>
    <row r="29" customFormat="false" ht="15" hidden="false" customHeight="false" outlineLevel="0" collapsed="false">
      <c r="A29" s="4" t="s">
        <v>265</v>
      </c>
      <c r="B29" s="4" t="s">
        <v>47</v>
      </c>
      <c r="C29" s="4" t="n">
        <v>6400</v>
      </c>
      <c r="D29" s="4" t="n">
        <v>8</v>
      </c>
      <c r="E29" s="9" t="s">
        <v>370</v>
      </c>
      <c r="F29" s="4" t="n">
        <v>6365</v>
      </c>
      <c r="G29" s="5" t="n">
        <f aca="false">C29-F29-20</f>
        <v>15</v>
      </c>
    </row>
    <row r="30" customFormat="false" ht="15" hidden="false" customHeight="false" outlineLevel="0" collapsed="false">
      <c r="A30" s="4" t="s">
        <v>272</v>
      </c>
      <c r="B30" s="4" t="s">
        <v>47</v>
      </c>
      <c r="C30" s="4" t="n">
        <v>6400</v>
      </c>
      <c r="D30" s="4" t="n">
        <v>8</v>
      </c>
      <c r="E30" s="9" t="s">
        <v>371</v>
      </c>
      <c r="F30" s="4" t="n">
        <v>6362.6</v>
      </c>
      <c r="G30" s="5" t="n">
        <f aca="false">C30-F30-20</f>
        <v>17.3999999999996</v>
      </c>
    </row>
    <row r="31" customFormat="false" ht="15" hidden="false" customHeight="false" outlineLevel="0" collapsed="false">
      <c r="A31" s="4" t="s">
        <v>264</v>
      </c>
      <c r="B31" s="4" t="s">
        <v>47</v>
      </c>
      <c r="C31" s="4" t="n">
        <v>6400</v>
      </c>
      <c r="D31" s="4" t="n">
        <v>9</v>
      </c>
      <c r="E31" s="9" t="s">
        <v>372</v>
      </c>
      <c r="F31" s="4" t="n">
        <v>6341.4</v>
      </c>
      <c r="G31" s="5" t="n">
        <f aca="false">C31-F31-20</f>
        <v>38.6000000000004</v>
      </c>
    </row>
    <row r="32" customFormat="false" ht="26.85" hidden="false" customHeight="false" outlineLevel="0" collapsed="false">
      <c r="A32" s="4" t="s">
        <v>266</v>
      </c>
      <c r="B32" s="4" t="s">
        <v>47</v>
      </c>
      <c r="C32" s="4" t="n">
        <v>6400</v>
      </c>
      <c r="D32" s="4" t="n">
        <v>13</v>
      </c>
      <c r="E32" s="9" t="s">
        <v>373</v>
      </c>
      <c r="F32" s="4" t="n">
        <v>6372</v>
      </c>
      <c r="G32" s="5" t="n">
        <f aca="false">C32-F32-20</f>
        <v>8</v>
      </c>
    </row>
    <row r="33" customFormat="false" ht="26.85" hidden="false" customHeight="false" outlineLevel="0" collapsed="false">
      <c r="A33" s="4" t="s">
        <v>259</v>
      </c>
      <c r="B33" s="4" t="s">
        <v>47</v>
      </c>
      <c r="C33" s="4" t="n">
        <v>6400</v>
      </c>
      <c r="D33" s="4" t="n">
        <v>16</v>
      </c>
      <c r="E33" s="9" t="s">
        <v>374</v>
      </c>
      <c r="F33" s="4" t="n">
        <v>6316.6</v>
      </c>
      <c r="G33" s="5" t="n">
        <f aca="false">C33-F33-20</f>
        <v>63.3999999999996</v>
      </c>
    </row>
    <row r="34" customFormat="false" ht="39.55" hidden="false" customHeight="false" outlineLevel="0" collapsed="false">
      <c r="A34" s="4" t="s">
        <v>257</v>
      </c>
      <c r="B34" s="4" t="s">
        <v>47</v>
      </c>
      <c r="C34" s="4" t="n">
        <v>6400</v>
      </c>
      <c r="D34" s="4" t="n">
        <v>32</v>
      </c>
      <c r="E34" s="9" t="s">
        <v>375</v>
      </c>
      <c r="F34" s="4" t="n">
        <v>5459</v>
      </c>
      <c r="G34" s="5" t="n">
        <f aca="false">C34-F34-20</f>
        <v>921</v>
      </c>
    </row>
    <row r="35" customFormat="false" ht="15" hidden="false" customHeight="false" outlineLevel="0" collapsed="false">
      <c r="A35" s="4" t="s">
        <v>277</v>
      </c>
      <c r="B35" s="4" t="s">
        <v>50</v>
      </c>
      <c r="C35" s="4" t="n">
        <v>6400</v>
      </c>
      <c r="D35" s="4" t="n">
        <v>11</v>
      </c>
      <c r="E35" s="9" t="s">
        <v>376</v>
      </c>
      <c r="F35" s="4" t="n">
        <v>6249.4</v>
      </c>
      <c r="G35" s="5" t="n">
        <f aca="false">C35-F35-20</f>
        <v>130.6</v>
      </c>
    </row>
    <row r="36" customFormat="false" ht="15" hidden="false" customHeight="false" outlineLevel="0" collapsed="false">
      <c r="A36" s="4" t="s">
        <v>275</v>
      </c>
      <c r="B36" s="4" t="s">
        <v>50</v>
      </c>
      <c r="C36" s="4" t="n">
        <v>6400</v>
      </c>
      <c r="D36" s="4" t="n">
        <v>11</v>
      </c>
      <c r="E36" s="9" t="s">
        <v>377</v>
      </c>
      <c r="F36" s="4" t="n">
        <v>4458.4</v>
      </c>
      <c r="G36" s="5" t="n">
        <f aca="false">C36-F36-20</f>
        <v>1921.6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6" min="5" style="0" width="8"/>
    <col collapsed="false" customWidth="true" hidden="false" outlineLevel="0" max="8" min="7" style="0" width="11"/>
    <col collapsed="false" customWidth="true" hidden="false" outlineLevel="0" max="9" min="9" style="0" width="9"/>
  </cols>
  <sheetData>
    <row r="1" customFormat="false" ht="17.35" hidden="false" customHeight="false" outlineLevel="0" collapsed="false">
      <c r="A1" s="1" t="s">
        <v>378</v>
      </c>
    </row>
    <row r="2" customFormat="false" ht="15" hidden="false" customHeight="false" outlineLevel="0" collapsed="false">
      <c r="A2" s="2" t="s">
        <v>379</v>
      </c>
    </row>
    <row r="4" customFormat="false" ht="15" hidden="false" customHeight="false" outlineLevel="0" collapsed="false">
      <c r="A4" s="3" t="s">
        <v>380</v>
      </c>
      <c r="B4" s="3" t="s">
        <v>153</v>
      </c>
      <c r="C4" s="3" t="s">
        <v>154</v>
      </c>
      <c r="D4" s="3" t="s">
        <v>155</v>
      </c>
      <c r="E4" s="3" t="s">
        <v>381</v>
      </c>
      <c r="F4" s="3" t="s">
        <v>382</v>
      </c>
      <c r="G4" s="3" t="s">
        <v>383</v>
      </c>
      <c r="H4" s="3" t="s">
        <v>384</v>
      </c>
      <c r="I4" s="3" t="s">
        <v>385</v>
      </c>
    </row>
    <row r="5" customFormat="false" ht="15" hidden="false" customHeight="false" outlineLevel="0" collapsed="false">
      <c r="A5" s="4" t="s">
        <v>302</v>
      </c>
      <c r="B5" s="4" t="n">
        <v>261</v>
      </c>
      <c r="C5" s="4" t="s">
        <v>219</v>
      </c>
      <c r="D5" s="4" t="s">
        <v>314</v>
      </c>
      <c r="E5" s="4" t="n">
        <v>5</v>
      </c>
      <c r="F5" s="4" t="n">
        <v>5</v>
      </c>
      <c r="G5" s="4" t="n">
        <v>2286</v>
      </c>
      <c r="H5" s="4" t="n">
        <v>784</v>
      </c>
      <c r="I5" s="4"/>
    </row>
    <row r="6" customFormat="false" ht="15" hidden="false" customHeight="false" outlineLevel="0" collapsed="false">
      <c r="A6" s="4" t="s">
        <v>302</v>
      </c>
      <c r="B6" s="4" t="n">
        <v>239</v>
      </c>
      <c r="C6" s="4" t="s">
        <v>128</v>
      </c>
      <c r="D6" s="4" t="s">
        <v>291</v>
      </c>
      <c r="E6" s="4" t="n">
        <v>2295</v>
      </c>
      <c r="F6" s="4" t="n">
        <v>5</v>
      </c>
      <c r="G6" s="4" t="n">
        <v>100</v>
      </c>
      <c r="H6" s="4" t="n">
        <v>764.8</v>
      </c>
      <c r="I6" s="4" t="s">
        <v>386</v>
      </c>
    </row>
    <row r="7" customFormat="false" ht="15" hidden="false" customHeight="false" outlineLevel="0" collapsed="false">
      <c r="A7" s="4" t="s">
        <v>302</v>
      </c>
      <c r="B7" s="4" t="n">
        <v>262</v>
      </c>
      <c r="C7" s="4" t="s">
        <v>219</v>
      </c>
      <c r="D7" s="4" t="s">
        <v>315</v>
      </c>
      <c r="E7" s="4" t="n">
        <v>5</v>
      </c>
      <c r="F7" s="4" t="n">
        <v>793</v>
      </c>
      <c r="G7" s="4" t="n">
        <v>2286</v>
      </c>
      <c r="H7" s="4" t="n">
        <v>30</v>
      </c>
      <c r="I7" s="4"/>
    </row>
    <row r="8" customFormat="false" ht="15" hidden="false" customHeight="false" outlineLevel="0" collapsed="false">
      <c r="A8" s="4" t="s">
        <v>302</v>
      </c>
      <c r="B8" s="4" t="n">
        <v>265</v>
      </c>
      <c r="C8" s="4" t="s">
        <v>227</v>
      </c>
      <c r="D8" s="4" t="s">
        <v>318</v>
      </c>
      <c r="E8" s="4" t="n">
        <v>5</v>
      </c>
      <c r="F8" s="4" t="n">
        <v>827</v>
      </c>
      <c r="G8" s="4" t="n">
        <v>1919.4</v>
      </c>
      <c r="H8" s="4" t="n">
        <v>50.8</v>
      </c>
      <c r="I8" s="4"/>
    </row>
    <row r="9" customFormat="false" ht="15" hidden="false" customHeight="false" outlineLevel="0" collapsed="false">
      <c r="A9" s="4" t="s">
        <v>302</v>
      </c>
      <c r="B9" s="4" t="n">
        <v>240</v>
      </c>
      <c r="C9" s="4" t="s">
        <v>128</v>
      </c>
      <c r="D9" s="4" t="s">
        <v>292</v>
      </c>
      <c r="E9" s="4" t="n">
        <v>1928</v>
      </c>
      <c r="F9" s="4" t="n">
        <v>827</v>
      </c>
      <c r="G9" s="4" t="n">
        <v>474</v>
      </c>
      <c r="H9" s="4" t="n">
        <v>100</v>
      </c>
      <c r="I9" s="4"/>
    </row>
    <row r="10" customFormat="false" ht="15" hidden="false" customHeight="false" outlineLevel="0" collapsed="false">
      <c r="A10" s="4" t="s">
        <v>302</v>
      </c>
      <c r="B10" s="4" t="n">
        <v>287</v>
      </c>
      <c r="C10" s="4" t="s">
        <v>240</v>
      </c>
      <c r="D10" s="4" t="s">
        <v>293</v>
      </c>
      <c r="E10" s="4" t="n">
        <v>5</v>
      </c>
      <c r="F10" s="4" t="n">
        <v>882</v>
      </c>
      <c r="G10" s="4" t="n">
        <v>914</v>
      </c>
      <c r="H10" s="4" t="n">
        <v>310</v>
      </c>
      <c r="I10" s="4"/>
    </row>
    <row r="11" customFormat="false" ht="15" hidden="false" customHeight="false" outlineLevel="0" collapsed="false">
      <c r="A11" s="4" t="s">
        <v>302</v>
      </c>
      <c r="B11" s="4" t="n">
        <v>292</v>
      </c>
      <c r="C11" s="4" t="s">
        <v>114</v>
      </c>
      <c r="D11" s="4" t="s">
        <v>293</v>
      </c>
      <c r="E11" s="4" t="n">
        <v>923</v>
      </c>
      <c r="F11" s="4" t="n">
        <v>882</v>
      </c>
      <c r="G11" s="4" t="n">
        <v>914</v>
      </c>
      <c r="H11" s="4" t="n">
        <v>310</v>
      </c>
      <c r="I11" s="4"/>
    </row>
    <row r="12" customFormat="false" ht="15" hidden="false" customHeight="false" outlineLevel="0" collapsed="false">
      <c r="A12" s="4" t="s">
        <v>302</v>
      </c>
      <c r="B12" s="4" t="n">
        <v>250</v>
      </c>
      <c r="C12" s="4" t="s">
        <v>209</v>
      </c>
      <c r="D12" s="4" t="s">
        <v>292</v>
      </c>
      <c r="E12" s="4" t="n">
        <v>1928</v>
      </c>
      <c r="F12" s="4" t="n">
        <v>931</v>
      </c>
      <c r="G12" s="4" t="n">
        <v>474</v>
      </c>
      <c r="H12" s="4" t="n">
        <v>100</v>
      </c>
      <c r="I12" s="4"/>
    </row>
    <row r="13" customFormat="false" ht="15" hidden="false" customHeight="false" outlineLevel="0" collapsed="false">
      <c r="A13" s="4" t="s">
        <v>302</v>
      </c>
      <c r="B13" s="4" t="n">
        <v>250</v>
      </c>
      <c r="C13" s="4" t="s">
        <v>209</v>
      </c>
      <c r="D13" s="4" t="s">
        <v>292</v>
      </c>
      <c r="E13" s="4" t="n">
        <v>1928</v>
      </c>
      <c r="F13" s="4" t="n">
        <v>1035</v>
      </c>
      <c r="G13" s="4" t="n">
        <v>474</v>
      </c>
      <c r="H13" s="4" t="n">
        <v>100</v>
      </c>
      <c r="I13" s="4"/>
    </row>
    <row r="14" customFormat="false" ht="15" hidden="false" customHeight="false" outlineLevel="0" collapsed="false">
      <c r="A14" s="4" t="s">
        <v>302</v>
      </c>
      <c r="B14" s="4" t="n">
        <v>229</v>
      </c>
      <c r="C14" s="4" t="s">
        <v>201</v>
      </c>
      <c r="D14" s="4" t="s">
        <v>289</v>
      </c>
      <c r="E14" s="4" t="n">
        <v>1928</v>
      </c>
      <c r="F14" s="4" t="n">
        <v>1139</v>
      </c>
      <c r="G14" s="4" t="n">
        <v>445.8</v>
      </c>
      <c r="H14" s="4" t="n">
        <v>63</v>
      </c>
      <c r="I14" s="4"/>
    </row>
    <row r="15" customFormat="false" ht="15" hidden="false" customHeight="false" outlineLevel="0" collapsed="false">
      <c r="A15" s="4" t="s">
        <v>296</v>
      </c>
      <c r="B15" s="4" t="n">
        <v>263</v>
      </c>
      <c r="C15" s="4" t="s">
        <v>219</v>
      </c>
      <c r="D15" s="4" t="s">
        <v>316</v>
      </c>
      <c r="E15" s="4" t="n">
        <v>5</v>
      </c>
      <c r="F15" s="4" t="n">
        <v>5</v>
      </c>
      <c r="G15" s="4" t="n">
        <v>2286</v>
      </c>
      <c r="H15" s="4" t="n">
        <v>784</v>
      </c>
      <c r="I15" s="4"/>
    </row>
    <row r="16" customFormat="false" ht="15" hidden="false" customHeight="false" outlineLevel="0" collapsed="false">
      <c r="A16" s="4" t="s">
        <v>296</v>
      </c>
      <c r="B16" s="4" t="n">
        <v>219</v>
      </c>
      <c r="C16" s="4" t="s">
        <v>89</v>
      </c>
      <c r="D16" s="4" t="s">
        <v>292</v>
      </c>
      <c r="E16" s="4" t="n">
        <v>2295</v>
      </c>
      <c r="F16" s="4" t="n">
        <v>5</v>
      </c>
      <c r="G16" s="4" t="n">
        <v>100</v>
      </c>
      <c r="H16" s="4" t="n">
        <v>474</v>
      </c>
      <c r="I16" s="4" t="s">
        <v>386</v>
      </c>
    </row>
    <row r="17" customFormat="false" ht="15" hidden="false" customHeight="false" outlineLevel="0" collapsed="false">
      <c r="A17" s="4" t="s">
        <v>296</v>
      </c>
      <c r="B17" s="4" t="n">
        <v>216</v>
      </c>
      <c r="C17" s="4" t="s">
        <v>89</v>
      </c>
      <c r="D17" s="4" t="s">
        <v>288</v>
      </c>
      <c r="E17" s="4" t="n">
        <v>5</v>
      </c>
      <c r="F17" s="4" t="n">
        <v>793</v>
      </c>
      <c r="G17" s="4" t="n">
        <v>786.2</v>
      </c>
      <c r="H17" s="4" t="n">
        <v>400</v>
      </c>
      <c r="I17" s="4"/>
    </row>
    <row r="18" customFormat="false" ht="15" hidden="false" customHeight="false" outlineLevel="0" collapsed="false">
      <c r="A18" s="4" t="s">
        <v>296</v>
      </c>
      <c r="B18" s="4" t="n">
        <v>215</v>
      </c>
      <c r="C18" s="4" t="s">
        <v>89</v>
      </c>
      <c r="D18" s="4" t="s">
        <v>294</v>
      </c>
      <c r="E18" s="4" t="n">
        <v>795</v>
      </c>
      <c r="F18" s="4" t="n">
        <v>793</v>
      </c>
      <c r="G18" s="4" t="n">
        <v>724</v>
      </c>
      <c r="H18" s="4" t="n">
        <v>408</v>
      </c>
      <c r="I18" s="4"/>
    </row>
    <row r="19" customFormat="false" ht="15" hidden="false" customHeight="false" outlineLevel="0" collapsed="false">
      <c r="A19" s="4" t="s">
        <v>296</v>
      </c>
      <c r="B19" s="4" t="n">
        <v>237</v>
      </c>
      <c r="C19" s="4" t="s">
        <v>128</v>
      </c>
      <c r="D19" s="4" t="s">
        <v>288</v>
      </c>
      <c r="E19" s="4" t="n">
        <v>1523</v>
      </c>
      <c r="F19" s="4" t="n">
        <v>793</v>
      </c>
      <c r="G19" s="4" t="n">
        <v>689</v>
      </c>
      <c r="H19" s="4" t="n">
        <v>400</v>
      </c>
      <c r="I19" s="4"/>
    </row>
    <row r="20" customFormat="false" ht="15" hidden="false" customHeight="false" outlineLevel="0" collapsed="false">
      <c r="A20" s="4" t="s">
        <v>297</v>
      </c>
      <c r="B20" s="4" t="n">
        <v>221</v>
      </c>
      <c r="C20" s="4" t="s">
        <v>134</v>
      </c>
      <c r="D20" s="4" t="s">
        <v>298</v>
      </c>
      <c r="E20" s="4" t="n">
        <v>5</v>
      </c>
      <c r="F20" s="4" t="n">
        <v>5</v>
      </c>
      <c r="G20" s="4" t="n">
        <v>1718.4</v>
      </c>
      <c r="H20" s="4" t="n">
        <v>876</v>
      </c>
      <c r="I20" s="4"/>
    </row>
    <row r="21" customFormat="false" ht="15" hidden="false" customHeight="false" outlineLevel="0" collapsed="false">
      <c r="A21" s="4" t="s">
        <v>297</v>
      </c>
      <c r="B21" s="4" t="n">
        <v>280</v>
      </c>
      <c r="C21" s="4" t="s">
        <v>240</v>
      </c>
      <c r="D21" s="4" t="s">
        <v>279</v>
      </c>
      <c r="E21" s="4" t="n">
        <v>1727</v>
      </c>
      <c r="F21" s="4" t="n">
        <v>5</v>
      </c>
      <c r="G21" s="4" t="n">
        <v>640.6</v>
      </c>
      <c r="H21" s="4" t="n">
        <v>914</v>
      </c>
      <c r="I21" s="4" t="s">
        <v>386</v>
      </c>
    </row>
    <row r="22" customFormat="false" ht="15" hidden="false" customHeight="false" outlineLevel="0" collapsed="false">
      <c r="A22" s="4" t="s">
        <v>297</v>
      </c>
      <c r="B22" s="4" t="n">
        <v>264</v>
      </c>
      <c r="C22" s="4" t="s">
        <v>227</v>
      </c>
      <c r="D22" s="4" t="s">
        <v>317</v>
      </c>
      <c r="E22" s="4" t="n">
        <v>5</v>
      </c>
      <c r="F22" s="4" t="n">
        <v>885</v>
      </c>
      <c r="G22" s="4" t="n">
        <v>1038.8</v>
      </c>
      <c r="H22" s="4" t="n">
        <v>50.8</v>
      </c>
      <c r="I22" s="4"/>
    </row>
    <row r="23" customFormat="false" ht="15" hidden="false" customHeight="false" outlineLevel="0" collapsed="false">
      <c r="A23" s="4" t="s">
        <v>297</v>
      </c>
      <c r="B23" s="4" t="n">
        <v>278</v>
      </c>
      <c r="C23" s="4" t="s">
        <v>105</v>
      </c>
      <c r="D23" s="4" t="s">
        <v>293</v>
      </c>
      <c r="E23" s="4" t="n">
        <v>1048</v>
      </c>
      <c r="F23" s="4" t="n">
        <v>885</v>
      </c>
      <c r="G23" s="4" t="n">
        <v>672</v>
      </c>
      <c r="H23" s="4" t="n">
        <v>310</v>
      </c>
      <c r="I23" s="4"/>
    </row>
    <row r="24" customFormat="false" ht="15" hidden="false" customHeight="false" outlineLevel="0" collapsed="false">
      <c r="A24" s="4" t="s">
        <v>297</v>
      </c>
      <c r="B24" s="4" t="n">
        <v>285</v>
      </c>
      <c r="C24" s="4" t="s">
        <v>240</v>
      </c>
      <c r="D24" s="4" t="s">
        <v>311</v>
      </c>
      <c r="E24" s="4" t="n">
        <v>1727</v>
      </c>
      <c r="F24" s="4" t="n">
        <v>923</v>
      </c>
      <c r="G24" s="4" t="n">
        <v>589.8</v>
      </c>
      <c r="H24" s="4" t="n">
        <v>286</v>
      </c>
      <c r="I24" s="4"/>
    </row>
    <row r="25" customFormat="false" ht="15" hidden="false" customHeight="false" outlineLevel="0" collapsed="false">
      <c r="A25" s="4" t="s">
        <v>297</v>
      </c>
      <c r="B25" s="4" t="n">
        <v>283</v>
      </c>
      <c r="C25" s="4" t="s">
        <v>240</v>
      </c>
      <c r="D25" s="4" t="s">
        <v>309</v>
      </c>
      <c r="E25" s="4" t="n">
        <v>5</v>
      </c>
      <c r="F25" s="4" t="n">
        <v>940</v>
      </c>
      <c r="G25" s="4" t="n">
        <v>914</v>
      </c>
      <c r="H25" s="4" t="n">
        <v>153.4</v>
      </c>
      <c r="I25" s="4"/>
    </row>
    <row r="26" customFormat="false" ht="15" hidden="false" customHeight="false" outlineLevel="0" collapsed="false">
      <c r="A26" s="4" t="s">
        <v>297</v>
      </c>
      <c r="B26" s="4" t="n">
        <v>218</v>
      </c>
      <c r="C26" s="4" t="s">
        <v>89</v>
      </c>
      <c r="D26" s="4" t="s">
        <v>291</v>
      </c>
      <c r="E26" s="4" t="n">
        <v>5</v>
      </c>
      <c r="F26" s="4" t="n">
        <v>1097</v>
      </c>
      <c r="G26" s="4" t="n">
        <v>862</v>
      </c>
      <c r="H26" s="4" t="n">
        <v>100</v>
      </c>
      <c r="I26" s="4"/>
    </row>
    <row r="27" customFormat="false" ht="15" hidden="false" customHeight="false" outlineLevel="0" collapsed="false">
      <c r="A27" s="4" t="s">
        <v>321</v>
      </c>
      <c r="B27" s="4" t="n">
        <v>221</v>
      </c>
      <c r="C27" s="4" t="s">
        <v>134</v>
      </c>
      <c r="D27" s="4" t="s">
        <v>298</v>
      </c>
      <c r="E27" s="4" t="n">
        <v>5</v>
      </c>
      <c r="F27" s="4" t="n">
        <v>5</v>
      </c>
      <c r="G27" s="4" t="n">
        <v>1718.4</v>
      </c>
      <c r="H27" s="4" t="n">
        <v>876</v>
      </c>
      <c r="I27" s="4"/>
    </row>
    <row r="28" customFormat="false" ht="15" hidden="false" customHeight="false" outlineLevel="0" collapsed="false">
      <c r="A28" s="4" t="s">
        <v>321</v>
      </c>
      <c r="B28" s="4" t="n">
        <v>292</v>
      </c>
      <c r="C28" s="4" t="s">
        <v>114</v>
      </c>
      <c r="D28" s="4" t="s">
        <v>293</v>
      </c>
      <c r="E28" s="4" t="n">
        <v>1727</v>
      </c>
      <c r="F28" s="4" t="n">
        <v>5</v>
      </c>
      <c r="G28" s="4" t="n">
        <v>310</v>
      </c>
      <c r="H28" s="4" t="n">
        <v>914</v>
      </c>
      <c r="I28" s="4" t="s">
        <v>386</v>
      </c>
    </row>
    <row r="29" customFormat="false" ht="15" hidden="false" customHeight="false" outlineLevel="0" collapsed="false">
      <c r="A29" s="4" t="s">
        <v>321</v>
      </c>
      <c r="B29" s="4" t="n">
        <v>270</v>
      </c>
      <c r="C29" s="4" t="s">
        <v>235</v>
      </c>
      <c r="D29" s="4" t="s">
        <v>294</v>
      </c>
      <c r="E29" s="4" t="n">
        <v>2041</v>
      </c>
      <c r="F29" s="4" t="n">
        <v>5</v>
      </c>
      <c r="G29" s="4" t="n">
        <v>373</v>
      </c>
      <c r="H29" s="4" t="n">
        <v>862</v>
      </c>
      <c r="I29" s="4" t="s">
        <v>386</v>
      </c>
    </row>
    <row r="30" customFormat="false" ht="15" hidden="false" customHeight="false" outlineLevel="0" collapsed="false">
      <c r="A30" s="4" t="s">
        <v>321</v>
      </c>
      <c r="B30" s="4" t="n">
        <v>269</v>
      </c>
      <c r="C30" s="4" t="s">
        <v>235</v>
      </c>
      <c r="D30" s="4" t="s">
        <v>281</v>
      </c>
      <c r="E30" s="4" t="n">
        <v>2041</v>
      </c>
      <c r="F30" s="4" t="n">
        <v>871</v>
      </c>
      <c r="G30" s="4" t="n">
        <v>392</v>
      </c>
      <c r="H30" s="4" t="n">
        <v>306</v>
      </c>
      <c r="I30" s="4"/>
    </row>
    <row r="31" customFormat="false" ht="15" hidden="false" customHeight="false" outlineLevel="0" collapsed="false">
      <c r="A31" s="4" t="s">
        <v>321</v>
      </c>
      <c r="B31" s="4" t="n">
        <v>286</v>
      </c>
      <c r="C31" s="4" t="s">
        <v>240</v>
      </c>
      <c r="D31" s="4" t="s">
        <v>293</v>
      </c>
      <c r="E31" s="4" t="n">
        <v>5</v>
      </c>
      <c r="F31" s="4" t="n">
        <v>885</v>
      </c>
      <c r="G31" s="4" t="n">
        <v>914</v>
      </c>
      <c r="H31" s="4" t="n">
        <v>310</v>
      </c>
      <c r="I31" s="4"/>
    </row>
    <row r="32" customFormat="false" ht="15" hidden="false" customHeight="false" outlineLevel="0" collapsed="false">
      <c r="A32" s="4" t="s">
        <v>321</v>
      </c>
      <c r="B32" s="4" t="n">
        <v>236</v>
      </c>
      <c r="C32" s="4" t="s">
        <v>128</v>
      </c>
      <c r="D32" s="4" t="s">
        <v>283</v>
      </c>
      <c r="E32" s="4" t="n">
        <v>923</v>
      </c>
      <c r="F32" s="4" t="n">
        <v>885</v>
      </c>
      <c r="G32" s="4" t="n">
        <v>745.8</v>
      </c>
      <c r="H32" s="4" t="n">
        <v>276</v>
      </c>
      <c r="I32" s="4"/>
    </row>
    <row r="33" customFormat="false" ht="15" hidden="false" customHeight="false" outlineLevel="0" collapsed="false">
      <c r="A33" s="4" t="s">
        <v>305</v>
      </c>
      <c r="B33" s="4" t="n">
        <v>253</v>
      </c>
      <c r="C33" s="4" t="s">
        <v>211</v>
      </c>
      <c r="D33" s="4" t="s">
        <v>281</v>
      </c>
      <c r="E33" s="4" t="n">
        <v>5</v>
      </c>
      <c r="F33" s="4" t="n">
        <v>5</v>
      </c>
      <c r="G33" s="4" t="n">
        <v>942</v>
      </c>
      <c r="H33" s="4" t="n">
        <v>760</v>
      </c>
      <c r="I33" s="4"/>
    </row>
    <row r="34" customFormat="false" ht="15" hidden="false" customHeight="false" outlineLevel="0" collapsed="false">
      <c r="A34" s="4" t="s">
        <v>305</v>
      </c>
      <c r="B34" s="4" t="n">
        <v>260</v>
      </c>
      <c r="C34" s="4" t="s">
        <v>211</v>
      </c>
      <c r="D34" s="4" t="s">
        <v>313</v>
      </c>
      <c r="E34" s="4" t="n">
        <v>951</v>
      </c>
      <c r="F34" s="4" t="n">
        <v>5</v>
      </c>
      <c r="G34" s="4" t="n">
        <v>942</v>
      </c>
      <c r="H34" s="4" t="n">
        <v>760</v>
      </c>
      <c r="I34" s="4"/>
    </row>
    <row r="35" customFormat="false" ht="15" hidden="false" customHeight="false" outlineLevel="0" collapsed="false">
      <c r="A35" s="4" t="s">
        <v>305</v>
      </c>
      <c r="B35" s="4" t="n">
        <v>252</v>
      </c>
      <c r="C35" s="4" t="s">
        <v>211</v>
      </c>
      <c r="D35" s="4" t="s">
        <v>279</v>
      </c>
      <c r="E35" s="4" t="n">
        <v>1897</v>
      </c>
      <c r="F35" s="4" t="n">
        <v>5</v>
      </c>
      <c r="G35" s="4" t="n">
        <v>457</v>
      </c>
      <c r="H35" s="4" t="n">
        <v>942</v>
      </c>
      <c r="I35" s="4" t="s">
        <v>386</v>
      </c>
    </row>
    <row r="36" customFormat="false" ht="15" hidden="false" customHeight="false" outlineLevel="0" collapsed="false">
      <c r="A36" s="4" t="s">
        <v>305</v>
      </c>
      <c r="B36" s="4" t="n">
        <v>235</v>
      </c>
      <c r="C36" s="4" t="s">
        <v>128</v>
      </c>
      <c r="D36" s="4" t="s">
        <v>283</v>
      </c>
      <c r="E36" s="4" t="n">
        <v>2358</v>
      </c>
      <c r="F36" s="4" t="n">
        <v>5</v>
      </c>
      <c r="G36" s="4" t="n">
        <v>68</v>
      </c>
      <c r="H36" s="4" t="n">
        <v>745.8</v>
      </c>
      <c r="I36" s="4" t="s">
        <v>386</v>
      </c>
    </row>
    <row r="37" customFormat="false" ht="15" hidden="false" customHeight="false" outlineLevel="0" collapsed="false">
      <c r="A37" s="4" t="s">
        <v>305</v>
      </c>
      <c r="B37" s="4" t="n">
        <v>268</v>
      </c>
      <c r="C37" s="4" t="s">
        <v>235</v>
      </c>
      <c r="D37" s="4" t="s">
        <v>279</v>
      </c>
      <c r="E37" s="4" t="n">
        <v>5</v>
      </c>
      <c r="F37" s="4" t="n">
        <v>769</v>
      </c>
      <c r="G37" s="4" t="n">
        <v>914</v>
      </c>
      <c r="H37" s="4" t="n">
        <v>392</v>
      </c>
      <c r="I37" s="4"/>
    </row>
    <row r="38" customFormat="false" ht="15" hidden="false" customHeight="false" outlineLevel="0" collapsed="false">
      <c r="A38" s="4" t="s">
        <v>305</v>
      </c>
      <c r="B38" s="4" t="n">
        <v>272</v>
      </c>
      <c r="C38" s="4" t="s">
        <v>235</v>
      </c>
      <c r="D38" s="4" t="s">
        <v>293</v>
      </c>
      <c r="E38" s="4" t="n">
        <v>951</v>
      </c>
      <c r="F38" s="4" t="n">
        <v>769</v>
      </c>
      <c r="G38" s="4" t="n">
        <v>914</v>
      </c>
      <c r="H38" s="4" t="n">
        <v>310</v>
      </c>
      <c r="I38" s="4"/>
    </row>
    <row r="39" customFormat="false" ht="15" hidden="false" customHeight="false" outlineLevel="0" collapsed="false">
      <c r="A39" s="4" t="s">
        <v>305</v>
      </c>
      <c r="B39" s="4" t="n">
        <v>231</v>
      </c>
      <c r="C39" s="4" t="s">
        <v>201</v>
      </c>
      <c r="D39" s="4" t="s">
        <v>292</v>
      </c>
      <c r="E39" s="4" t="n">
        <v>1897</v>
      </c>
      <c r="F39" s="4" t="n">
        <v>951</v>
      </c>
      <c r="G39" s="4" t="n">
        <v>474</v>
      </c>
      <c r="H39" s="4" t="n">
        <v>100</v>
      </c>
      <c r="I39" s="4"/>
    </row>
    <row r="40" customFormat="false" ht="15" hidden="false" customHeight="false" outlineLevel="0" collapsed="false">
      <c r="A40" s="4" t="s">
        <v>305</v>
      </c>
      <c r="B40" s="4" t="n">
        <v>240</v>
      </c>
      <c r="C40" s="4" t="s">
        <v>128</v>
      </c>
      <c r="D40" s="4" t="s">
        <v>292</v>
      </c>
      <c r="E40" s="4" t="n">
        <v>1897</v>
      </c>
      <c r="F40" s="4" t="n">
        <v>1055</v>
      </c>
      <c r="G40" s="4" t="n">
        <v>474</v>
      </c>
      <c r="H40" s="4" t="n">
        <v>100</v>
      </c>
      <c r="I40" s="4"/>
    </row>
    <row r="41" customFormat="false" ht="15" hidden="false" customHeight="false" outlineLevel="0" collapsed="false">
      <c r="A41" s="4" t="s">
        <v>305</v>
      </c>
      <c r="B41" s="4" t="n">
        <v>284</v>
      </c>
      <c r="C41" s="4" t="s">
        <v>240</v>
      </c>
      <c r="D41" s="4" t="s">
        <v>310</v>
      </c>
      <c r="E41" s="4" t="n">
        <v>951</v>
      </c>
      <c r="F41" s="4" t="n">
        <v>1083</v>
      </c>
      <c r="G41" s="4" t="n">
        <v>914</v>
      </c>
      <c r="H41" s="4" t="n">
        <v>124</v>
      </c>
      <c r="I41" s="4"/>
    </row>
    <row r="42" customFormat="false" ht="15" hidden="false" customHeight="false" outlineLevel="0" collapsed="false">
      <c r="A42" s="4" t="s">
        <v>312</v>
      </c>
      <c r="B42" s="4" t="n">
        <v>289</v>
      </c>
      <c r="C42" s="4" t="s">
        <v>114</v>
      </c>
      <c r="D42" s="4" t="s">
        <v>279</v>
      </c>
      <c r="E42" s="4" t="n">
        <v>5</v>
      </c>
      <c r="F42" s="4" t="n">
        <v>5</v>
      </c>
      <c r="G42" s="4" t="n">
        <v>914</v>
      </c>
      <c r="H42" s="4" t="n">
        <v>862</v>
      </c>
      <c r="I42" s="4"/>
    </row>
    <row r="43" customFormat="false" ht="15" hidden="false" customHeight="false" outlineLevel="0" collapsed="false">
      <c r="A43" s="4" t="s">
        <v>312</v>
      </c>
      <c r="B43" s="4" t="n">
        <v>257</v>
      </c>
      <c r="C43" s="4" t="s">
        <v>211</v>
      </c>
      <c r="D43" s="4" t="s">
        <v>311</v>
      </c>
      <c r="E43" s="4" t="n">
        <v>923</v>
      </c>
      <c r="F43" s="4" t="n">
        <v>5</v>
      </c>
      <c r="G43" s="4" t="n">
        <v>891.2</v>
      </c>
      <c r="H43" s="4" t="n">
        <v>740</v>
      </c>
      <c r="I43" s="4"/>
    </row>
    <row r="44" customFormat="false" ht="15" hidden="false" customHeight="false" outlineLevel="0" collapsed="false">
      <c r="A44" s="4" t="s">
        <v>312</v>
      </c>
      <c r="B44" s="4" t="n">
        <v>295</v>
      </c>
      <c r="C44" s="4" t="s">
        <v>111</v>
      </c>
      <c r="D44" s="4" t="s">
        <v>332</v>
      </c>
      <c r="E44" s="4" t="n">
        <v>1818</v>
      </c>
      <c r="F44" s="4" t="n">
        <v>5</v>
      </c>
      <c r="G44" s="4" t="n">
        <v>610</v>
      </c>
      <c r="H44" s="4" t="n">
        <v>876</v>
      </c>
      <c r="I44" s="4" t="s">
        <v>386</v>
      </c>
    </row>
    <row r="45" customFormat="false" ht="15" hidden="false" customHeight="false" outlineLevel="0" collapsed="false">
      <c r="A45" s="4" t="s">
        <v>312</v>
      </c>
      <c r="B45" s="4" t="n">
        <v>291</v>
      </c>
      <c r="C45" s="4" t="s">
        <v>114</v>
      </c>
      <c r="D45" s="4" t="s">
        <v>294</v>
      </c>
      <c r="E45" s="4" t="n">
        <v>923</v>
      </c>
      <c r="F45" s="4" t="n">
        <v>749</v>
      </c>
      <c r="G45" s="4" t="n">
        <v>862</v>
      </c>
      <c r="H45" s="4" t="n">
        <v>408</v>
      </c>
      <c r="I45" s="4"/>
    </row>
    <row r="46" customFormat="false" ht="15" hidden="false" customHeight="false" outlineLevel="0" collapsed="false">
      <c r="A46" s="4" t="s">
        <v>312</v>
      </c>
      <c r="B46" s="4" t="n">
        <v>272</v>
      </c>
      <c r="C46" s="4" t="s">
        <v>235</v>
      </c>
      <c r="D46" s="4" t="s">
        <v>293</v>
      </c>
      <c r="E46" s="4" t="n">
        <v>5</v>
      </c>
      <c r="F46" s="4" t="n">
        <v>871</v>
      </c>
      <c r="G46" s="4" t="n">
        <v>914</v>
      </c>
      <c r="H46" s="4" t="n">
        <v>310</v>
      </c>
      <c r="I46" s="4"/>
    </row>
    <row r="47" customFormat="false" ht="15" hidden="false" customHeight="false" outlineLevel="0" collapsed="false">
      <c r="A47" s="4" t="s">
        <v>312</v>
      </c>
      <c r="B47" s="4" t="n">
        <v>275</v>
      </c>
      <c r="C47" s="4" t="s">
        <v>105</v>
      </c>
      <c r="D47" s="4" t="s">
        <v>281</v>
      </c>
      <c r="E47" s="4" t="n">
        <v>1818</v>
      </c>
      <c r="F47" s="4" t="n">
        <v>885</v>
      </c>
      <c r="G47" s="4" t="n">
        <v>612</v>
      </c>
      <c r="H47" s="4" t="n">
        <v>306</v>
      </c>
      <c r="I47" s="4"/>
    </row>
    <row r="48" customFormat="false" ht="15" hidden="false" customHeight="false" outlineLevel="0" collapsed="false">
      <c r="A48" s="4" t="s">
        <v>312</v>
      </c>
      <c r="B48" s="4" t="n">
        <v>266</v>
      </c>
      <c r="C48" s="4" t="s">
        <v>227</v>
      </c>
      <c r="D48" s="4" t="s">
        <v>319</v>
      </c>
      <c r="E48" s="4" t="n">
        <v>923</v>
      </c>
      <c r="F48" s="4" t="n">
        <v>1161</v>
      </c>
      <c r="G48" s="4" t="n">
        <v>648.6</v>
      </c>
      <c r="H48" s="4" t="n">
        <v>50.8</v>
      </c>
      <c r="I48" s="4"/>
    </row>
    <row r="49" customFormat="false" ht="15" hidden="false" customHeight="false" outlineLevel="0" collapsed="false">
      <c r="A49" s="4" t="s">
        <v>285</v>
      </c>
      <c r="B49" s="4" t="n">
        <v>222</v>
      </c>
      <c r="C49" s="4" t="s">
        <v>134</v>
      </c>
      <c r="D49" s="4" t="s">
        <v>300</v>
      </c>
      <c r="E49" s="4" t="n">
        <v>5</v>
      </c>
      <c r="F49" s="4" t="n">
        <v>5</v>
      </c>
      <c r="G49" s="4" t="n">
        <v>876</v>
      </c>
      <c r="H49" s="4" t="n">
        <v>643.4</v>
      </c>
      <c r="I49" s="4"/>
    </row>
    <row r="50" customFormat="false" ht="15" hidden="false" customHeight="false" outlineLevel="0" collapsed="false">
      <c r="A50" s="4" t="s">
        <v>285</v>
      </c>
      <c r="B50" s="4" t="n">
        <v>222</v>
      </c>
      <c r="C50" s="4" t="s">
        <v>134</v>
      </c>
      <c r="D50" s="4" t="s">
        <v>300</v>
      </c>
      <c r="E50" s="4" t="n">
        <v>885</v>
      </c>
      <c r="F50" s="4" t="n">
        <v>5</v>
      </c>
      <c r="G50" s="4" t="n">
        <v>876</v>
      </c>
      <c r="H50" s="4" t="n">
        <v>643.4</v>
      </c>
      <c r="I50" s="4"/>
    </row>
    <row r="51" customFormat="false" ht="15" hidden="false" customHeight="false" outlineLevel="0" collapsed="false">
      <c r="A51" s="4" t="s">
        <v>285</v>
      </c>
      <c r="B51" s="4" t="n">
        <v>222</v>
      </c>
      <c r="C51" s="4" t="s">
        <v>134</v>
      </c>
      <c r="D51" s="4" t="s">
        <v>300</v>
      </c>
      <c r="E51" s="4" t="n">
        <v>1765</v>
      </c>
      <c r="F51" s="4" t="n">
        <v>5</v>
      </c>
      <c r="G51" s="4" t="n">
        <v>643.4</v>
      </c>
      <c r="H51" s="4" t="n">
        <v>876</v>
      </c>
      <c r="I51" s="4" t="s">
        <v>386</v>
      </c>
    </row>
    <row r="52" customFormat="false" ht="15" hidden="false" customHeight="false" outlineLevel="0" collapsed="false">
      <c r="A52" s="4" t="s">
        <v>285</v>
      </c>
      <c r="B52" s="4" t="n">
        <v>294</v>
      </c>
      <c r="C52" s="4" t="s">
        <v>111</v>
      </c>
      <c r="D52" s="4" t="s">
        <v>331</v>
      </c>
      <c r="E52" s="4" t="n">
        <v>5</v>
      </c>
      <c r="F52" s="4" t="n">
        <v>652</v>
      </c>
      <c r="G52" s="4" t="n">
        <v>876</v>
      </c>
      <c r="H52" s="4" t="n">
        <v>486</v>
      </c>
      <c r="I52" s="4"/>
    </row>
    <row r="53" customFormat="false" ht="15" hidden="false" customHeight="false" outlineLevel="0" collapsed="false">
      <c r="A53" s="4" t="s">
        <v>285</v>
      </c>
      <c r="B53" s="4" t="n">
        <v>291</v>
      </c>
      <c r="C53" s="4" t="s">
        <v>114</v>
      </c>
      <c r="D53" s="4" t="s">
        <v>294</v>
      </c>
      <c r="E53" s="4" t="n">
        <v>885</v>
      </c>
      <c r="F53" s="4" t="n">
        <v>652</v>
      </c>
      <c r="G53" s="4" t="n">
        <v>862</v>
      </c>
      <c r="H53" s="4" t="n">
        <v>408</v>
      </c>
      <c r="I53" s="4"/>
    </row>
    <row r="54" customFormat="false" ht="15" hidden="false" customHeight="false" outlineLevel="0" collapsed="false">
      <c r="A54" s="4" t="s">
        <v>285</v>
      </c>
      <c r="B54" s="4" t="n">
        <v>281</v>
      </c>
      <c r="C54" s="4" t="s">
        <v>240</v>
      </c>
      <c r="D54" s="4" t="s">
        <v>281</v>
      </c>
      <c r="E54" s="4" t="n">
        <v>1765</v>
      </c>
      <c r="F54" s="4" t="n">
        <v>885</v>
      </c>
      <c r="G54" s="4" t="n">
        <v>640.6</v>
      </c>
      <c r="H54" s="4" t="n">
        <v>306</v>
      </c>
      <c r="I54" s="4"/>
    </row>
    <row r="55" customFormat="false" ht="15" hidden="false" customHeight="false" outlineLevel="0" collapsed="false">
      <c r="A55" s="4" t="s">
        <v>285</v>
      </c>
      <c r="B55" s="4" t="n">
        <v>231</v>
      </c>
      <c r="C55" s="4" t="s">
        <v>201</v>
      </c>
      <c r="D55" s="4" t="s">
        <v>292</v>
      </c>
      <c r="E55" s="4" t="n">
        <v>885</v>
      </c>
      <c r="F55" s="4" t="n">
        <v>1064</v>
      </c>
      <c r="G55" s="4" t="n">
        <v>474</v>
      </c>
      <c r="H55" s="4" t="n">
        <v>100</v>
      </c>
      <c r="I55" s="4"/>
    </row>
    <row r="56" customFormat="false" ht="15" hidden="false" customHeight="false" outlineLevel="0" collapsed="false">
      <c r="A56" s="4" t="s">
        <v>285</v>
      </c>
      <c r="B56" s="4" t="n">
        <v>206</v>
      </c>
      <c r="C56" s="4" t="s">
        <v>93</v>
      </c>
      <c r="D56" s="4" t="s">
        <v>283</v>
      </c>
      <c r="E56" s="4" t="n">
        <v>1363</v>
      </c>
      <c r="F56" s="4" t="n">
        <v>1064</v>
      </c>
      <c r="G56" s="4" t="n">
        <v>373</v>
      </c>
      <c r="H56" s="4" t="n">
        <v>142</v>
      </c>
      <c r="I56" s="4"/>
    </row>
    <row r="57" customFormat="false" ht="15" hidden="false" customHeight="false" outlineLevel="0" collapsed="false">
      <c r="A57" s="4" t="s">
        <v>285</v>
      </c>
      <c r="B57" s="4" t="n">
        <v>217</v>
      </c>
      <c r="C57" s="4" t="s">
        <v>89</v>
      </c>
      <c r="D57" s="4" t="s">
        <v>289</v>
      </c>
      <c r="E57" s="4" t="n">
        <v>5</v>
      </c>
      <c r="F57" s="4" t="n">
        <v>1142</v>
      </c>
      <c r="G57" s="4" t="n">
        <v>843</v>
      </c>
      <c r="H57" s="4" t="n">
        <v>63</v>
      </c>
      <c r="I57" s="4"/>
    </row>
    <row r="58" customFormat="false" ht="15" hidden="false" customHeight="false" outlineLevel="0" collapsed="false">
      <c r="A58" s="4" t="s">
        <v>286</v>
      </c>
      <c r="B58" s="4" t="n">
        <v>222</v>
      </c>
      <c r="C58" s="4" t="s">
        <v>134</v>
      </c>
      <c r="D58" s="4" t="s">
        <v>300</v>
      </c>
      <c r="E58" s="4" t="n">
        <v>5</v>
      </c>
      <c r="F58" s="4" t="n">
        <v>5</v>
      </c>
      <c r="G58" s="4" t="n">
        <v>876</v>
      </c>
      <c r="H58" s="4" t="n">
        <v>643.4</v>
      </c>
      <c r="I58" s="4"/>
    </row>
    <row r="59" customFormat="false" ht="15" hidden="false" customHeight="false" outlineLevel="0" collapsed="false">
      <c r="A59" s="4" t="s">
        <v>286</v>
      </c>
      <c r="B59" s="4" t="n">
        <v>214</v>
      </c>
      <c r="C59" s="4" t="s">
        <v>89</v>
      </c>
      <c r="D59" s="4" t="s">
        <v>281</v>
      </c>
      <c r="E59" s="4" t="n">
        <v>885</v>
      </c>
      <c r="F59" s="4" t="n">
        <v>5</v>
      </c>
      <c r="G59" s="4" t="n">
        <v>862</v>
      </c>
      <c r="H59" s="4" t="n">
        <v>590</v>
      </c>
      <c r="I59" s="4"/>
    </row>
    <row r="60" customFormat="false" ht="15" hidden="false" customHeight="false" outlineLevel="0" collapsed="false">
      <c r="A60" s="4" t="s">
        <v>286</v>
      </c>
      <c r="B60" s="4" t="n">
        <v>282</v>
      </c>
      <c r="C60" s="4" t="s">
        <v>240</v>
      </c>
      <c r="D60" s="4" t="s">
        <v>294</v>
      </c>
      <c r="E60" s="4" t="n">
        <v>1751</v>
      </c>
      <c r="F60" s="4" t="n">
        <v>5</v>
      </c>
      <c r="G60" s="4" t="n">
        <v>297.3</v>
      </c>
      <c r="H60" s="4" t="n">
        <v>862</v>
      </c>
      <c r="I60" s="4" t="s">
        <v>386</v>
      </c>
    </row>
    <row r="61" customFormat="false" ht="15" hidden="false" customHeight="false" outlineLevel="0" collapsed="false">
      <c r="A61" s="4" t="s">
        <v>286</v>
      </c>
      <c r="B61" s="4" t="n">
        <v>236</v>
      </c>
      <c r="C61" s="4" t="s">
        <v>128</v>
      </c>
      <c r="D61" s="4" t="s">
        <v>283</v>
      </c>
      <c r="E61" s="4" t="n">
        <v>2052</v>
      </c>
      <c r="F61" s="4" t="n">
        <v>5</v>
      </c>
      <c r="G61" s="4" t="n">
        <v>276</v>
      </c>
      <c r="H61" s="4" t="n">
        <v>745.8</v>
      </c>
      <c r="I61" s="4" t="s">
        <v>386</v>
      </c>
    </row>
    <row r="62" customFormat="false" ht="15" hidden="false" customHeight="false" outlineLevel="0" collapsed="false">
      <c r="A62" s="4" t="s">
        <v>286</v>
      </c>
      <c r="B62" s="4" t="n">
        <v>238</v>
      </c>
      <c r="C62" s="4" t="s">
        <v>128</v>
      </c>
      <c r="D62" s="4" t="s">
        <v>289</v>
      </c>
      <c r="E62" s="4" t="n">
        <v>2332</v>
      </c>
      <c r="F62" s="4" t="n">
        <v>5</v>
      </c>
      <c r="G62" s="4" t="n">
        <v>63</v>
      </c>
      <c r="H62" s="4" t="n">
        <v>745.8</v>
      </c>
      <c r="I62" s="4" t="s">
        <v>386</v>
      </c>
    </row>
    <row r="63" customFormat="false" ht="15" hidden="false" customHeight="false" outlineLevel="0" collapsed="false">
      <c r="A63" s="4" t="s">
        <v>286</v>
      </c>
      <c r="B63" s="4" t="n">
        <v>293</v>
      </c>
      <c r="C63" s="4" t="s">
        <v>114</v>
      </c>
      <c r="D63" s="4" t="s">
        <v>313</v>
      </c>
      <c r="E63" s="4" t="n">
        <v>885</v>
      </c>
      <c r="F63" s="4" t="n">
        <v>599</v>
      </c>
      <c r="G63" s="4" t="n">
        <v>862</v>
      </c>
      <c r="H63" s="4" t="n">
        <v>306</v>
      </c>
      <c r="I63" s="4"/>
    </row>
    <row r="64" customFormat="false" ht="15" hidden="false" customHeight="false" outlineLevel="0" collapsed="false">
      <c r="A64" s="4" t="s">
        <v>286</v>
      </c>
      <c r="B64" s="4" t="n">
        <v>290</v>
      </c>
      <c r="C64" s="4" t="s">
        <v>114</v>
      </c>
      <c r="D64" s="4" t="s">
        <v>281</v>
      </c>
      <c r="E64" s="4" t="n">
        <v>5</v>
      </c>
      <c r="F64" s="4" t="n">
        <v>652</v>
      </c>
      <c r="G64" s="4" t="n">
        <v>862</v>
      </c>
      <c r="H64" s="4" t="n">
        <v>306</v>
      </c>
      <c r="I64" s="4"/>
    </row>
    <row r="65" customFormat="false" ht="15" hidden="false" customHeight="false" outlineLevel="0" collapsed="false">
      <c r="A65" s="4" t="s">
        <v>286</v>
      </c>
      <c r="B65" s="4" t="n">
        <v>255</v>
      </c>
      <c r="C65" s="4" t="s">
        <v>211</v>
      </c>
      <c r="D65" s="4" t="s">
        <v>309</v>
      </c>
      <c r="E65" s="4" t="n">
        <v>2052</v>
      </c>
      <c r="F65" s="4" t="n">
        <v>755</v>
      </c>
      <c r="G65" s="4" t="n">
        <v>133.4</v>
      </c>
      <c r="H65" s="4" t="n">
        <v>457</v>
      </c>
      <c r="I65" s="4" t="s">
        <v>386</v>
      </c>
    </row>
    <row r="66" customFormat="false" ht="15" hidden="false" customHeight="false" outlineLevel="0" collapsed="false">
      <c r="A66" s="4" t="s">
        <v>286</v>
      </c>
      <c r="B66" s="4" t="n">
        <v>256</v>
      </c>
      <c r="C66" s="4" t="s">
        <v>211</v>
      </c>
      <c r="D66" s="4" t="s">
        <v>310</v>
      </c>
      <c r="E66" s="4" t="n">
        <v>2190</v>
      </c>
      <c r="F66" s="4" t="n">
        <v>755</v>
      </c>
      <c r="G66" s="4" t="n">
        <v>124</v>
      </c>
      <c r="H66" s="4" t="n">
        <v>457</v>
      </c>
      <c r="I66" s="4" t="s">
        <v>386</v>
      </c>
    </row>
    <row r="67" customFormat="false" ht="15" hidden="false" customHeight="false" outlineLevel="0" collapsed="false">
      <c r="A67" s="4" t="s">
        <v>286</v>
      </c>
      <c r="B67" s="4" t="n">
        <v>271</v>
      </c>
      <c r="C67" s="4" t="s">
        <v>235</v>
      </c>
      <c r="D67" s="4" t="s">
        <v>311</v>
      </c>
      <c r="E67" s="4" t="n">
        <v>1751</v>
      </c>
      <c r="F67" s="4" t="n">
        <v>871</v>
      </c>
      <c r="G67" s="4" t="n">
        <v>286</v>
      </c>
      <c r="H67" s="4" t="n">
        <v>341.2</v>
      </c>
      <c r="I67" s="4" t="s">
        <v>386</v>
      </c>
    </row>
    <row r="68" customFormat="false" ht="15" hidden="false" customHeight="false" outlineLevel="0" collapsed="false">
      <c r="A68" s="4" t="s">
        <v>286</v>
      </c>
      <c r="B68" s="4" t="n">
        <v>282</v>
      </c>
      <c r="C68" s="4" t="s">
        <v>240</v>
      </c>
      <c r="D68" s="4" t="s">
        <v>294</v>
      </c>
      <c r="E68" s="4" t="n">
        <v>885</v>
      </c>
      <c r="F68" s="4" t="n">
        <v>909</v>
      </c>
      <c r="G68" s="4" t="n">
        <v>862</v>
      </c>
      <c r="H68" s="4" t="n">
        <v>297.3</v>
      </c>
      <c r="I68" s="4"/>
    </row>
    <row r="69" customFormat="false" ht="15" hidden="false" customHeight="false" outlineLevel="0" collapsed="false">
      <c r="A69" s="4" t="s">
        <v>286</v>
      </c>
      <c r="B69" s="4" t="n">
        <v>230</v>
      </c>
      <c r="C69" s="4" t="s">
        <v>201</v>
      </c>
      <c r="D69" s="4" t="s">
        <v>291</v>
      </c>
      <c r="E69" s="4" t="n">
        <v>5</v>
      </c>
      <c r="F69" s="4" t="n">
        <v>962</v>
      </c>
      <c r="G69" s="4" t="n">
        <v>464.8</v>
      </c>
      <c r="H69" s="4" t="n">
        <v>100</v>
      </c>
      <c r="I69" s="4"/>
    </row>
    <row r="70" customFormat="false" ht="15" hidden="false" customHeight="false" outlineLevel="0" collapsed="false">
      <c r="A70" s="4" t="s">
        <v>286</v>
      </c>
      <c r="B70" s="4" t="n">
        <v>207</v>
      </c>
      <c r="C70" s="4" t="s">
        <v>93</v>
      </c>
      <c r="D70" s="4" t="s">
        <v>283</v>
      </c>
      <c r="E70" s="4" t="n">
        <v>474</v>
      </c>
      <c r="F70" s="4" t="n">
        <v>962</v>
      </c>
      <c r="G70" s="4" t="n">
        <v>373</v>
      </c>
      <c r="H70" s="4" t="n">
        <v>219.6</v>
      </c>
      <c r="I70" s="4"/>
    </row>
    <row r="71" customFormat="false" ht="15" hidden="false" customHeight="false" outlineLevel="0" collapsed="false">
      <c r="A71" s="4" t="s">
        <v>286</v>
      </c>
      <c r="B71" s="4" t="n">
        <v>249</v>
      </c>
      <c r="C71" s="4" t="s">
        <v>209</v>
      </c>
      <c r="D71" s="4" t="s">
        <v>291</v>
      </c>
      <c r="E71" s="4" t="n">
        <v>5</v>
      </c>
      <c r="F71" s="4" t="n">
        <v>1066</v>
      </c>
      <c r="G71" s="4" t="n">
        <v>464.8</v>
      </c>
      <c r="H71" s="4" t="n">
        <v>100</v>
      </c>
      <c r="I71" s="4"/>
    </row>
    <row r="72" customFormat="false" ht="15" hidden="false" customHeight="false" outlineLevel="0" collapsed="false">
      <c r="A72" s="4" t="s">
        <v>280</v>
      </c>
      <c r="B72" s="4" t="n">
        <v>233</v>
      </c>
      <c r="C72" s="4" t="s">
        <v>128</v>
      </c>
      <c r="D72" s="4" t="s">
        <v>279</v>
      </c>
      <c r="E72" s="4" t="n">
        <v>5</v>
      </c>
      <c r="F72" s="4" t="n">
        <v>5</v>
      </c>
      <c r="G72" s="4" t="n">
        <v>776</v>
      </c>
      <c r="H72" s="4" t="n">
        <v>764.8</v>
      </c>
      <c r="I72" s="4"/>
    </row>
    <row r="73" customFormat="false" ht="15" hidden="false" customHeight="false" outlineLevel="0" collapsed="false">
      <c r="A73" s="4" t="s">
        <v>280</v>
      </c>
      <c r="B73" s="4" t="n">
        <v>213</v>
      </c>
      <c r="C73" s="4" t="s">
        <v>93</v>
      </c>
      <c r="D73" s="4" t="s">
        <v>293</v>
      </c>
      <c r="E73" s="4" t="n">
        <v>785</v>
      </c>
      <c r="F73" s="4" t="n">
        <v>5</v>
      </c>
      <c r="G73" s="4" t="n">
        <v>776</v>
      </c>
      <c r="H73" s="4" t="n">
        <v>590</v>
      </c>
      <c r="I73" s="4"/>
    </row>
    <row r="74" customFormat="false" ht="15" hidden="false" customHeight="false" outlineLevel="0" collapsed="false">
      <c r="A74" s="4" t="s">
        <v>280</v>
      </c>
      <c r="B74" s="4" t="n">
        <v>220</v>
      </c>
      <c r="C74" s="4" t="s">
        <v>89</v>
      </c>
      <c r="D74" s="4" t="s">
        <v>293</v>
      </c>
      <c r="E74" s="4" t="n">
        <v>1565</v>
      </c>
      <c r="F74" s="4" t="n">
        <v>5</v>
      </c>
      <c r="G74" s="4" t="n">
        <v>776</v>
      </c>
      <c r="H74" s="4" t="n">
        <v>590</v>
      </c>
      <c r="I74" s="4"/>
    </row>
    <row r="75" customFormat="false" ht="15" hidden="false" customHeight="false" outlineLevel="0" collapsed="false">
      <c r="A75" s="4" t="s">
        <v>280</v>
      </c>
      <c r="B75" s="4" t="n">
        <v>213</v>
      </c>
      <c r="C75" s="4" t="s">
        <v>93</v>
      </c>
      <c r="D75" s="4" t="s">
        <v>293</v>
      </c>
      <c r="E75" s="4" t="n">
        <v>785</v>
      </c>
      <c r="F75" s="4" t="n">
        <v>599</v>
      </c>
      <c r="G75" s="4" t="n">
        <v>776</v>
      </c>
      <c r="H75" s="4" t="n">
        <v>590</v>
      </c>
      <c r="I75" s="4"/>
    </row>
    <row r="76" customFormat="false" ht="15" hidden="false" customHeight="false" outlineLevel="0" collapsed="false">
      <c r="A76" s="4" t="s">
        <v>280</v>
      </c>
      <c r="B76" s="4" t="n">
        <v>220</v>
      </c>
      <c r="C76" s="4" t="s">
        <v>89</v>
      </c>
      <c r="D76" s="4" t="s">
        <v>293</v>
      </c>
      <c r="E76" s="4" t="n">
        <v>1565</v>
      </c>
      <c r="F76" s="4" t="n">
        <v>599</v>
      </c>
      <c r="G76" s="4" t="n">
        <v>776</v>
      </c>
      <c r="H76" s="4" t="n">
        <v>590</v>
      </c>
      <c r="I76" s="4"/>
    </row>
    <row r="77" customFormat="false" ht="15" hidden="false" customHeight="false" outlineLevel="0" collapsed="false">
      <c r="A77" s="4" t="s">
        <v>280</v>
      </c>
      <c r="B77" s="4" t="n">
        <v>204</v>
      </c>
      <c r="C77" s="4" t="s">
        <v>93</v>
      </c>
      <c r="D77" s="4" t="s">
        <v>279</v>
      </c>
      <c r="E77" s="4" t="n">
        <v>5</v>
      </c>
      <c r="F77" s="4" t="n">
        <v>774</v>
      </c>
      <c r="G77" s="4" t="n">
        <v>776</v>
      </c>
      <c r="H77" s="4" t="n">
        <v>392</v>
      </c>
      <c r="I77" s="4"/>
    </row>
    <row r="78" customFormat="false" ht="15" hidden="false" customHeight="false" outlineLevel="0" collapsed="false">
      <c r="A78" s="4" t="s">
        <v>304</v>
      </c>
      <c r="B78" s="4" t="n">
        <v>232</v>
      </c>
      <c r="C78" s="4" t="s">
        <v>201</v>
      </c>
      <c r="D78" s="4" t="s">
        <v>293</v>
      </c>
      <c r="E78" s="4" t="n">
        <v>5</v>
      </c>
      <c r="F78" s="4" t="n">
        <v>5</v>
      </c>
      <c r="G78" s="4" t="n">
        <v>776</v>
      </c>
      <c r="H78" s="4" t="n">
        <v>590</v>
      </c>
      <c r="I78" s="4"/>
    </row>
    <row r="79" customFormat="false" ht="15" hidden="false" customHeight="false" outlineLevel="0" collapsed="false">
      <c r="A79" s="4" t="s">
        <v>304</v>
      </c>
      <c r="B79" s="4" t="n">
        <v>241</v>
      </c>
      <c r="C79" s="4" t="s">
        <v>128</v>
      </c>
      <c r="D79" s="4" t="s">
        <v>293</v>
      </c>
      <c r="E79" s="4" t="n">
        <v>785</v>
      </c>
      <c r="F79" s="4" t="n">
        <v>5</v>
      </c>
      <c r="G79" s="4" t="n">
        <v>776</v>
      </c>
      <c r="H79" s="4" t="n">
        <v>590</v>
      </c>
      <c r="I79" s="4"/>
    </row>
    <row r="80" customFormat="false" ht="15" hidden="false" customHeight="false" outlineLevel="0" collapsed="false">
      <c r="A80" s="4" t="s">
        <v>304</v>
      </c>
      <c r="B80" s="4" t="n">
        <v>251</v>
      </c>
      <c r="C80" s="4" t="s">
        <v>209</v>
      </c>
      <c r="D80" s="4" t="s">
        <v>293</v>
      </c>
      <c r="E80" s="4" t="n">
        <v>1565</v>
      </c>
      <c r="F80" s="4" t="n">
        <v>5</v>
      </c>
      <c r="G80" s="4" t="n">
        <v>776</v>
      </c>
      <c r="H80" s="4" t="n">
        <v>590</v>
      </c>
      <c r="I80" s="4"/>
    </row>
    <row r="81" customFormat="false" ht="15" hidden="false" customHeight="false" outlineLevel="0" collapsed="false">
      <c r="A81" s="4" t="s">
        <v>304</v>
      </c>
      <c r="B81" s="4" t="n">
        <v>232</v>
      </c>
      <c r="C81" s="4" t="s">
        <v>201</v>
      </c>
      <c r="D81" s="4" t="s">
        <v>293</v>
      </c>
      <c r="E81" s="4" t="n">
        <v>5</v>
      </c>
      <c r="F81" s="4" t="n">
        <v>599</v>
      </c>
      <c r="G81" s="4" t="n">
        <v>776</v>
      </c>
      <c r="H81" s="4" t="n">
        <v>590</v>
      </c>
      <c r="I81" s="4"/>
    </row>
    <row r="82" customFormat="false" ht="15" hidden="false" customHeight="false" outlineLevel="0" collapsed="false">
      <c r="A82" s="4" t="s">
        <v>304</v>
      </c>
      <c r="B82" s="4" t="n">
        <v>241</v>
      </c>
      <c r="C82" s="4" t="s">
        <v>128</v>
      </c>
      <c r="D82" s="4" t="s">
        <v>293</v>
      </c>
      <c r="E82" s="4" t="n">
        <v>785</v>
      </c>
      <c r="F82" s="4" t="n">
        <v>599</v>
      </c>
      <c r="G82" s="4" t="n">
        <v>776</v>
      </c>
      <c r="H82" s="4" t="n">
        <v>590</v>
      </c>
      <c r="I82" s="4"/>
    </row>
    <row r="83" customFormat="false" ht="15" hidden="false" customHeight="false" outlineLevel="0" collapsed="false">
      <c r="A83" s="4" t="s">
        <v>304</v>
      </c>
      <c r="B83" s="4" t="n">
        <v>251</v>
      </c>
      <c r="C83" s="4" t="s">
        <v>209</v>
      </c>
      <c r="D83" s="4" t="s">
        <v>293</v>
      </c>
      <c r="E83" s="4" t="n">
        <v>1565</v>
      </c>
      <c r="F83" s="4" t="n">
        <v>599</v>
      </c>
      <c r="G83" s="4" t="n">
        <v>776</v>
      </c>
      <c r="H83" s="4" t="n">
        <v>590</v>
      </c>
      <c r="I83" s="4"/>
    </row>
    <row r="84" customFormat="false" ht="15" hidden="false" customHeight="false" outlineLevel="0" collapsed="false">
      <c r="A84" s="4" t="s">
        <v>290</v>
      </c>
      <c r="B84" s="4" t="n">
        <v>223</v>
      </c>
      <c r="C84" s="4" t="s">
        <v>201</v>
      </c>
      <c r="D84" s="4" t="s">
        <v>279</v>
      </c>
      <c r="E84" s="4" t="n">
        <v>5</v>
      </c>
      <c r="F84" s="4" t="n">
        <v>5</v>
      </c>
      <c r="G84" s="4" t="n">
        <v>776</v>
      </c>
      <c r="H84" s="4" t="n">
        <v>464.8</v>
      </c>
      <c r="I84" s="4"/>
    </row>
    <row r="85" customFormat="false" ht="15" hidden="false" customHeight="false" outlineLevel="0" collapsed="false">
      <c r="A85" s="4" t="s">
        <v>290</v>
      </c>
      <c r="B85" s="4" t="n">
        <v>234</v>
      </c>
      <c r="C85" s="4" t="s">
        <v>128</v>
      </c>
      <c r="D85" s="4" t="s">
        <v>281</v>
      </c>
      <c r="E85" s="4" t="n">
        <v>785</v>
      </c>
      <c r="F85" s="4" t="n">
        <v>5</v>
      </c>
      <c r="G85" s="4" t="n">
        <v>764.8</v>
      </c>
      <c r="H85" s="4" t="n">
        <v>586</v>
      </c>
      <c r="I85" s="4"/>
    </row>
    <row r="86" customFormat="false" ht="15" hidden="false" customHeight="false" outlineLevel="0" collapsed="false">
      <c r="A86" s="4" t="s">
        <v>290</v>
      </c>
      <c r="B86" s="4" t="n">
        <v>259</v>
      </c>
      <c r="C86" s="4" t="s">
        <v>211</v>
      </c>
      <c r="D86" s="4" t="s">
        <v>293</v>
      </c>
      <c r="E86" s="4" t="n">
        <v>1554</v>
      </c>
      <c r="F86" s="4" t="n">
        <v>5</v>
      </c>
      <c r="G86" s="4" t="n">
        <v>764</v>
      </c>
      <c r="H86" s="4" t="n">
        <v>457</v>
      </c>
      <c r="I86" s="4"/>
    </row>
    <row r="87" customFormat="false" ht="15" hidden="false" customHeight="false" outlineLevel="0" collapsed="false">
      <c r="A87" s="4" t="s">
        <v>290</v>
      </c>
      <c r="B87" s="4" t="n">
        <v>210</v>
      </c>
      <c r="C87" s="4" t="s">
        <v>93</v>
      </c>
      <c r="D87" s="4" t="s">
        <v>289</v>
      </c>
      <c r="E87" s="4" t="n">
        <v>2322</v>
      </c>
      <c r="F87" s="4" t="n">
        <v>5</v>
      </c>
      <c r="G87" s="4" t="n">
        <v>63</v>
      </c>
      <c r="H87" s="4" t="n">
        <v>373</v>
      </c>
      <c r="I87" s="4" t="s">
        <v>386</v>
      </c>
    </row>
    <row r="88" customFormat="false" ht="15" hidden="false" customHeight="false" outlineLevel="0" collapsed="false">
      <c r="A88" s="4" t="s">
        <v>290</v>
      </c>
      <c r="B88" s="4" t="n">
        <v>215</v>
      </c>
      <c r="C88" s="4" t="s">
        <v>89</v>
      </c>
      <c r="D88" s="4" t="s">
        <v>294</v>
      </c>
      <c r="E88" s="4" t="n">
        <v>1554</v>
      </c>
      <c r="F88" s="4" t="n">
        <v>466</v>
      </c>
      <c r="G88" s="4" t="n">
        <v>724</v>
      </c>
      <c r="H88" s="4" t="n">
        <v>408</v>
      </c>
      <c r="I88" s="4"/>
    </row>
    <row r="89" customFormat="false" ht="15" hidden="false" customHeight="false" outlineLevel="0" collapsed="false">
      <c r="A89" s="4" t="s">
        <v>290</v>
      </c>
      <c r="B89" s="4" t="n">
        <v>242</v>
      </c>
      <c r="C89" s="4" t="s">
        <v>209</v>
      </c>
      <c r="D89" s="4" t="s">
        <v>279</v>
      </c>
      <c r="E89" s="4" t="n">
        <v>5</v>
      </c>
      <c r="F89" s="4" t="n">
        <v>474</v>
      </c>
      <c r="G89" s="4" t="n">
        <v>776</v>
      </c>
      <c r="H89" s="4" t="n">
        <v>464.8</v>
      </c>
      <c r="I89" s="4"/>
    </row>
    <row r="90" customFormat="false" ht="15" hidden="false" customHeight="false" outlineLevel="0" collapsed="false">
      <c r="A90" s="4" t="s">
        <v>290</v>
      </c>
      <c r="B90" s="4" t="n">
        <v>258</v>
      </c>
      <c r="C90" s="4" t="s">
        <v>211</v>
      </c>
      <c r="D90" s="4" t="s">
        <v>293</v>
      </c>
      <c r="E90" s="4" t="n">
        <v>785</v>
      </c>
      <c r="F90" s="4" t="n">
        <v>595</v>
      </c>
      <c r="G90" s="4" t="n">
        <v>764</v>
      </c>
      <c r="H90" s="4" t="n">
        <v>457</v>
      </c>
      <c r="I90" s="4"/>
    </row>
    <row r="91" customFormat="false" ht="15" hidden="false" customHeight="false" outlineLevel="0" collapsed="false">
      <c r="A91" s="4" t="s">
        <v>290</v>
      </c>
      <c r="B91" s="4" t="n">
        <v>278</v>
      </c>
      <c r="C91" s="4" t="s">
        <v>105</v>
      </c>
      <c r="D91" s="4" t="s">
        <v>293</v>
      </c>
      <c r="E91" s="4" t="n">
        <v>1554</v>
      </c>
      <c r="F91" s="4" t="n">
        <v>878</v>
      </c>
      <c r="G91" s="4" t="n">
        <v>672</v>
      </c>
      <c r="H91" s="4" t="n">
        <v>310</v>
      </c>
      <c r="I91" s="4"/>
    </row>
    <row r="92" customFormat="false" ht="15" hidden="false" customHeight="false" outlineLevel="0" collapsed="false">
      <c r="A92" s="4" t="s">
        <v>290</v>
      </c>
      <c r="B92" s="4" t="n">
        <v>277</v>
      </c>
      <c r="C92" s="4" t="s">
        <v>105</v>
      </c>
      <c r="D92" s="4" t="s">
        <v>311</v>
      </c>
      <c r="E92" s="4" t="n">
        <v>5</v>
      </c>
      <c r="F92" s="4" t="n">
        <v>943</v>
      </c>
      <c r="G92" s="4" t="n">
        <v>561.2</v>
      </c>
      <c r="H92" s="4" t="n">
        <v>185.2</v>
      </c>
      <c r="I92" s="4"/>
    </row>
    <row r="93" customFormat="false" ht="15" hidden="false" customHeight="false" outlineLevel="0" collapsed="false">
      <c r="A93" s="4" t="s">
        <v>290</v>
      </c>
      <c r="B93" s="4" t="n">
        <v>219</v>
      </c>
      <c r="C93" s="4" t="s">
        <v>89</v>
      </c>
      <c r="D93" s="4" t="s">
        <v>292</v>
      </c>
      <c r="E93" s="4" t="n">
        <v>785</v>
      </c>
      <c r="F93" s="4" t="n">
        <v>1056</v>
      </c>
      <c r="G93" s="4" t="n">
        <v>474</v>
      </c>
      <c r="H93" s="4" t="n">
        <v>100</v>
      </c>
      <c r="I93" s="4"/>
    </row>
    <row r="94" customFormat="false" ht="15" hidden="false" customHeight="false" outlineLevel="0" collapsed="false">
      <c r="A94" s="4" t="s">
        <v>290</v>
      </c>
      <c r="B94" s="4" t="n">
        <v>248</v>
      </c>
      <c r="C94" s="4" t="s">
        <v>209</v>
      </c>
      <c r="D94" s="4" t="s">
        <v>289</v>
      </c>
      <c r="E94" s="4" t="n">
        <v>5</v>
      </c>
      <c r="F94" s="4" t="n">
        <v>1132</v>
      </c>
      <c r="G94" s="4" t="n">
        <v>445.8</v>
      </c>
      <c r="H94" s="4" t="n">
        <v>63</v>
      </c>
      <c r="I94" s="4"/>
    </row>
    <row r="95" customFormat="false" ht="15" hidden="false" customHeight="false" outlineLevel="0" collapsed="false">
      <c r="A95" s="4" t="s">
        <v>282</v>
      </c>
      <c r="B95" s="4" t="n">
        <v>274</v>
      </c>
      <c r="C95" s="4" t="s">
        <v>105</v>
      </c>
      <c r="D95" s="4" t="s">
        <v>279</v>
      </c>
      <c r="E95" s="4" t="n">
        <v>5</v>
      </c>
      <c r="F95" s="4" t="n">
        <v>5</v>
      </c>
      <c r="G95" s="4" t="n">
        <v>672</v>
      </c>
      <c r="H95" s="4" t="n">
        <v>612</v>
      </c>
      <c r="I95" s="4"/>
    </row>
    <row r="96" customFormat="false" ht="15" hidden="false" customHeight="false" outlineLevel="0" collapsed="false">
      <c r="A96" s="4" t="s">
        <v>282</v>
      </c>
      <c r="B96" s="4" t="n">
        <v>276</v>
      </c>
      <c r="C96" s="4" t="s">
        <v>105</v>
      </c>
      <c r="D96" s="4" t="s">
        <v>294</v>
      </c>
      <c r="E96" s="4" t="n">
        <v>681</v>
      </c>
      <c r="F96" s="4" t="n">
        <v>5</v>
      </c>
      <c r="G96" s="4" t="n">
        <v>620</v>
      </c>
      <c r="H96" s="4" t="n">
        <v>593</v>
      </c>
      <c r="I96" s="4"/>
    </row>
    <row r="97" customFormat="false" ht="15" hidden="false" customHeight="false" outlineLevel="0" collapsed="false">
      <c r="A97" s="4" t="s">
        <v>282</v>
      </c>
      <c r="B97" s="4" t="n">
        <v>267</v>
      </c>
      <c r="C97" s="4" t="s">
        <v>102</v>
      </c>
      <c r="D97" s="4" t="s">
        <v>320</v>
      </c>
      <c r="E97" s="4" t="n">
        <v>1305</v>
      </c>
      <c r="F97" s="4" t="n">
        <v>5</v>
      </c>
      <c r="G97" s="4" t="n">
        <v>609.6</v>
      </c>
      <c r="H97" s="4" t="n">
        <v>609.6</v>
      </c>
      <c r="I97" s="4"/>
    </row>
    <row r="98" customFormat="false" ht="15" hidden="false" customHeight="false" outlineLevel="0" collapsed="false">
      <c r="A98" s="4" t="s">
        <v>282</v>
      </c>
      <c r="B98" s="4" t="n">
        <v>224</v>
      </c>
      <c r="C98" s="4" t="s">
        <v>201</v>
      </c>
      <c r="D98" s="4" t="s">
        <v>281</v>
      </c>
      <c r="E98" s="4" t="n">
        <v>1919</v>
      </c>
      <c r="F98" s="4" t="n">
        <v>5</v>
      </c>
      <c r="G98" s="4" t="n">
        <v>464.8</v>
      </c>
      <c r="H98" s="4" t="n">
        <v>586</v>
      </c>
      <c r="I98" s="4" t="s">
        <v>386</v>
      </c>
    </row>
    <row r="99" customFormat="false" ht="15" hidden="false" customHeight="false" outlineLevel="0" collapsed="false">
      <c r="A99" s="4" t="s">
        <v>282</v>
      </c>
      <c r="B99" s="4" t="n">
        <v>279</v>
      </c>
      <c r="C99" s="4" t="s">
        <v>105</v>
      </c>
      <c r="D99" s="4" t="s">
        <v>313</v>
      </c>
      <c r="E99" s="4" t="n">
        <v>681</v>
      </c>
      <c r="F99" s="4" t="n">
        <v>602</v>
      </c>
      <c r="G99" s="4" t="n">
        <v>612</v>
      </c>
      <c r="H99" s="4" t="n">
        <v>306</v>
      </c>
      <c r="I99" s="4"/>
    </row>
    <row r="100" customFormat="false" ht="15" hidden="false" customHeight="false" outlineLevel="0" collapsed="false">
      <c r="A100" s="4" t="s">
        <v>282</v>
      </c>
      <c r="B100" s="4" t="n">
        <v>243</v>
      </c>
      <c r="C100" s="4" t="s">
        <v>209</v>
      </c>
      <c r="D100" s="4" t="s">
        <v>281</v>
      </c>
      <c r="E100" s="4" t="n">
        <v>1305</v>
      </c>
      <c r="F100" s="4" t="n">
        <v>619</v>
      </c>
      <c r="G100" s="4" t="n">
        <v>586</v>
      </c>
      <c r="H100" s="4" t="n">
        <v>464.8</v>
      </c>
      <c r="I100" s="4"/>
    </row>
    <row r="101" customFormat="false" ht="15" hidden="false" customHeight="false" outlineLevel="0" collapsed="false">
      <c r="A101" s="4" t="s">
        <v>282</v>
      </c>
      <c r="B101" s="4" t="n">
        <v>205</v>
      </c>
      <c r="C101" s="4" t="s">
        <v>93</v>
      </c>
      <c r="D101" s="4" t="s">
        <v>281</v>
      </c>
      <c r="E101" s="4" t="n">
        <v>1895</v>
      </c>
      <c r="F101" s="4" t="n">
        <v>619</v>
      </c>
      <c r="G101" s="4" t="n">
        <v>392</v>
      </c>
      <c r="H101" s="4" t="n">
        <v>586</v>
      </c>
      <c r="I101" s="4" t="s">
        <v>386</v>
      </c>
    </row>
    <row r="102" customFormat="false" ht="15" hidden="false" customHeight="false" outlineLevel="0" collapsed="false">
      <c r="A102" s="4" t="s">
        <v>282</v>
      </c>
      <c r="B102" s="4" t="n">
        <v>212</v>
      </c>
      <c r="C102" s="4" t="s">
        <v>93</v>
      </c>
      <c r="D102" s="4" t="s">
        <v>292</v>
      </c>
      <c r="E102" s="4" t="n">
        <v>2291</v>
      </c>
      <c r="F102" s="4" t="n">
        <v>619</v>
      </c>
      <c r="G102" s="4" t="n">
        <v>100</v>
      </c>
      <c r="H102" s="4" t="n">
        <v>474</v>
      </c>
      <c r="I102" s="4" t="s">
        <v>386</v>
      </c>
    </row>
    <row r="103" customFormat="false" ht="15" hidden="false" customHeight="false" outlineLevel="0" collapsed="false">
      <c r="A103" s="4" t="s">
        <v>282</v>
      </c>
      <c r="B103" s="4" t="n">
        <v>288</v>
      </c>
      <c r="C103" s="4" t="s">
        <v>240</v>
      </c>
      <c r="D103" s="4" t="s">
        <v>313</v>
      </c>
      <c r="E103" s="4" t="n">
        <v>5</v>
      </c>
      <c r="F103" s="4" t="n">
        <v>621</v>
      </c>
      <c r="G103" s="4" t="n">
        <v>640.6</v>
      </c>
      <c r="H103" s="4" t="n">
        <v>306</v>
      </c>
      <c r="I103" s="4"/>
    </row>
    <row r="104" customFormat="false" ht="15" hidden="false" customHeight="false" outlineLevel="0" collapsed="false">
      <c r="A104" s="4" t="s">
        <v>282</v>
      </c>
      <c r="B104" s="4" t="n">
        <v>285</v>
      </c>
      <c r="C104" s="4" t="s">
        <v>240</v>
      </c>
      <c r="D104" s="4" t="s">
        <v>311</v>
      </c>
      <c r="E104" s="4" t="n">
        <v>681</v>
      </c>
      <c r="F104" s="4" t="n">
        <v>912</v>
      </c>
      <c r="G104" s="4" t="n">
        <v>589.8</v>
      </c>
      <c r="H104" s="4" t="n">
        <v>286</v>
      </c>
      <c r="I104" s="4"/>
    </row>
    <row r="105" customFormat="false" ht="15" hidden="false" customHeight="false" outlineLevel="0" collapsed="false">
      <c r="A105" s="4" t="s">
        <v>282</v>
      </c>
      <c r="B105" s="4" t="n">
        <v>277</v>
      </c>
      <c r="C105" s="4" t="s">
        <v>105</v>
      </c>
      <c r="D105" s="4" t="s">
        <v>311</v>
      </c>
      <c r="E105" s="4" t="n">
        <v>5</v>
      </c>
      <c r="F105" s="4" t="n">
        <v>931</v>
      </c>
      <c r="G105" s="4" t="n">
        <v>561.2</v>
      </c>
      <c r="H105" s="4" t="n">
        <v>185.2</v>
      </c>
      <c r="I105" s="4"/>
    </row>
    <row r="106" customFormat="false" ht="15" hidden="false" customHeight="false" outlineLevel="0" collapsed="false">
      <c r="A106" s="4" t="s">
        <v>282</v>
      </c>
      <c r="B106" s="4" t="n">
        <v>212</v>
      </c>
      <c r="C106" s="4" t="s">
        <v>93</v>
      </c>
      <c r="D106" s="4" t="s">
        <v>292</v>
      </c>
      <c r="E106" s="4" t="n">
        <v>1305</v>
      </c>
      <c r="F106" s="4" t="n">
        <v>1087</v>
      </c>
      <c r="G106" s="4" t="n">
        <v>474</v>
      </c>
      <c r="H106" s="4" t="n">
        <v>100</v>
      </c>
      <c r="I106" s="4"/>
    </row>
    <row r="107" customFormat="false" ht="15" hidden="false" customHeight="false" outlineLevel="0" collapsed="false">
      <c r="A107" s="4" t="s">
        <v>287</v>
      </c>
      <c r="B107" s="4" t="n">
        <v>254</v>
      </c>
      <c r="C107" s="4" t="s">
        <v>211</v>
      </c>
      <c r="D107" s="4" t="s">
        <v>294</v>
      </c>
      <c r="E107" s="4" t="n">
        <v>5</v>
      </c>
      <c r="F107" s="4" t="n">
        <v>5</v>
      </c>
      <c r="G107" s="4" t="n">
        <v>448</v>
      </c>
      <c r="H107" s="4" t="n">
        <v>405</v>
      </c>
      <c r="I107" s="4"/>
    </row>
    <row r="108" customFormat="false" ht="15" hidden="false" customHeight="false" outlineLevel="0" collapsed="false">
      <c r="A108" s="4" t="s">
        <v>287</v>
      </c>
      <c r="B108" s="4" t="n">
        <v>246</v>
      </c>
      <c r="C108" s="4" t="s">
        <v>209</v>
      </c>
      <c r="D108" s="4" t="s">
        <v>283</v>
      </c>
      <c r="E108" s="4" t="n">
        <v>457</v>
      </c>
      <c r="F108" s="4" t="n">
        <v>5</v>
      </c>
      <c r="G108" s="4" t="n">
        <v>445.8</v>
      </c>
      <c r="H108" s="4" t="n">
        <v>258.4</v>
      </c>
      <c r="I108" s="4"/>
    </row>
    <row r="109" customFormat="false" ht="15" hidden="false" customHeight="false" outlineLevel="0" collapsed="false">
      <c r="A109" s="4" t="s">
        <v>287</v>
      </c>
      <c r="B109" s="4" t="n">
        <v>228</v>
      </c>
      <c r="C109" s="4" t="s">
        <v>201</v>
      </c>
      <c r="D109" s="4" t="s">
        <v>288</v>
      </c>
      <c r="E109" s="4" t="n">
        <v>907</v>
      </c>
      <c r="F109" s="4" t="n">
        <v>5</v>
      </c>
      <c r="G109" s="4" t="n">
        <v>400</v>
      </c>
      <c r="H109" s="4" t="n">
        <v>389</v>
      </c>
      <c r="I109" s="4"/>
    </row>
    <row r="110" customFormat="false" ht="15" hidden="false" customHeight="false" outlineLevel="0" collapsed="false">
      <c r="A110" s="4" t="s">
        <v>287</v>
      </c>
      <c r="B110" s="4" t="n">
        <v>273</v>
      </c>
      <c r="C110" s="4" t="s">
        <v>235</v>
      </c>
      <c r="D110" s="4" t="s">
        <v>313</v>
      </c>
      <c r="E110" s="4" t="n">
        <v>1311</v>
      </c>
      <c r="F110" s="4" t="n">
        <v>5</v>
      </c>
      <c r="G110" s="4" t="n">
        <v>392</v>
      </c>
      <c r="H110" s="4" t="n">
        <v>306</v>
      </c>
      <c r="I110" s="4"/>
    </row>
    <row r="111" customFormat="false" ht="15" hidden="false" customHeight="false" outlineLevel="0" collapsed="false">
      <c r="A111" s="4" t="s">
        <v>287</v>
      </c>
      <c r="B111" s="4" t="n">
        <v>208</v>
      </c>
      <c r="C111" s="4" t="s">
        <v>93</v>
      </c>
      <c r="D111" s="4" t="s">
        <v>283</v>
      </c>
      <c r="E111" s="4" t="n">
        <v>1707</v>
      </c>
      <c r="F111" s="4" t="n">
        <v>5</v>
      </c>
      <c r="G111" s="4" t="n">
        <v>373</v>
      </c>
      <c r="H111" s="4" t="n">
        <v>258.4</v>
      </c>
      <c r="I111" s="4"/>
    </row>
    <row r="112" customFormat="false" ht="15" hidden="false" customHeight="false" outlineLevel="0" collapsed="false">
      <c r="A112" s="4" t="s">
        <v>287</v>
      </c>
      <c r="B112" s="4" t="n">
        <v>271</v>
      </c>
      <c r="C112" s="4" t="s">
        <v>235</v>
      </c>
      <c r="D112" s="4" t="s">
        <v>311</v>
      </c>
      <c r="E112" s="4" t="n">
        <v>2084</v>
      </c>
      <c r="F112" s="4" t="n">
        <v>5</v>
      </c>
      <c r="G112" s="4" t="n">
        <v>341.2</v>
      </c>
      <c r="H112" s="4" t="n">
        <v>286</v>
      </c>
      <c r="I112" s="4"/>
    </row>
    <row r="113" customFormat="false" ht="15" hidden="false" customHeight="false" outlineLevel="0" collapsed="false">
      <c r="A113" s="4" t="s">
        <v>287</v>
      </c>
      <c r="B113" s="4" t="n">
        <v>226</v>
      </c>
      <c r="C113" s="4" t="s">
        <v>201</v>
      </c>
      <c r="D113" s="4" t="s">
        <v>283</v>
      </c>
      <c r="E113" s="4" t="n">
        <v>457</v>
      </c>
      <c r="F113" s="4" t="n">
        <v>267</v>
      </c>
      <c r="G113" s="4" t="n">
        <v>445.8</v>
      </c>
      <c r="H113" s="4" t="n">
        <v>219.6</v>
      </c>
      <c r="I113" s="4"/>
    </row>
    <row r="114" customFormat="false" ht="15" hidden="false" customHeight="false" outlineLevel="0" collapsed="false">
      <c r="A114" s="4" t="s">
        <v>287</v>
      </c>
      <c r="B114" s="4" t="n">
        <v>247</v>
      </c>
      <c r="C114" s="4" t="s">
        <v>209</v>
      </c>
      <c r="D114" s="4" t="s">
        <v>288</v>
      </c>
      <c r="E114" s="4" t="n">
        <v>907</v>
      </c>
      <c r="F114" s="4" t="n">
        <v>398</v>
      </c>
      <c r="G114" s="4" t="n">
        <v>400</v>
      </c>
      <c r="H114" s="4" t="n">
        <v>389</v>
      </c>
      <c r="I114" s="4"/>
    </row>
    <row r="115" customFormat="false" ht="15" hidden="false" customHeight="false" outlineLevel="0" collapsed="false">
      <c r="A115" s="4" t="s">
        <v>287</v>
      </c>
      <c r="B115" s="4" t="n">
        <v>254</v>
      </c>
      <c r="C115" s="4" t="s">
        <v>211</v>
      </c>
      <c r="D115" s="4" t="s">
        <v>294</v>
      </c>
      <c r="E115" s="4" t="n">
        <v>5</v>
      </c>
      <c r="F115" s="4" t="n">
        <v>414</v>
      </c>
      <c r="G115" s="4" t="n">
        <v>448</v>
      </c>
      <c r="H115" s="4" t="n">
        <v>405</v>
      </c>
      <c r="I115" s="4"/>
    </row>
    <row r="116" customFormat="false" ht="15" hidden="false" customHeight="false" outlineLevel="0" collapsed="false">
      <c r="A116" s="4" t="s">
        <v>287</v>
      </c>
      <c r="B116" s="4" t="n">
        <v>245</v>
      </c>
      <c r="C116" s="4" t="s">
        <v>209</v>
      </c>
      <c r="D116" s="4" t="s">
        <v>283</v>
      </c>
      <c r="E116" s="4" t="n">
        <v>457</v>
      </c>
      <c r="F116" s="4" t="n">
        <v>491</v>
      </c>
      <c r="G116" s="4" t="n">
        <v>445.8</v>
      </c>
      <c r="H116" s="4" t="n">
        <v>219.6</v>
      </c>
      <c r="I116" s="4"/>
    </row>
    <row r="117" customFormat="false" ht="15" hidden="false" customHeight="false" outlineLevel="0" collapsed="false">
      <c r="A117" s="4" t="s">
        <v>287</v>
      </c>
      <c r="B117" s="4" t="n">
        <v>225</v>
      </c>
      <c r="C117" s="4" t="s">
        <v>201</v>
      </c>
      <c r="D117" s="4" t="s">
        <v>283</v>
      </c>
      <c r="E117" s="4" t="n">
        <v>457</v>
      </c>
      <c r="F117" s="4" t="n">
        <v>715</v>
      </c>
      <c r="G117" s="4" t="n">
        <v>445.8</v>
      </c>
      <c r="H117" s="4" t="n">
        <v>142</v>
      </c>
      <c r="I117" s="4"/>
    </row>
    <row r="118" customFormat="false" ht="15" hidden="false" customHeight="false" outlineLevel="0" collapsed="false">
      <c r="A118" s="4" t="s">
        <v>287</v>
      </c>
      <c r="B118" s="4" t="n">
        <v>209</v>
      </c>
      <c r="C118" s="4" t="s">
        <v>93</v>
      </c>
      <c r="D118" s="4" t="s">
        <v>288</v>
      </c>
      <c r="E118" s="4" t="n">
        <v>907</v>
      </c>
      <c r="F118" s="4" t="n">
        <v>791</v>
      </c>
      <c r="G118" s="4" t="n">
        <v>400</v>
      </c>
      <c r="H118" s="4" t="n">
        <v>316.2</v>
      </c>
      <c r="I118" s="4"/>
    </row>
    <row r="119" customFormat="false" ht="15" hidden="false" customHeight="false" outlineLevel="0" collapsed="false">
      <c r="A119" s="4" t="s">
        <v>287</v>
      </c>
      <c r="B119" s="4" t="n">
        <v>227</v>
      </c>
      <c r="C119" s="4" t="s">
        <v>201</v>
      </c>
      <c r="D119" s="4" t="s">
        <v>283</v>
      </c>
      <c r="E119" s="4" t="n">
        <v>5</v>
      </c>
      <c r="F119" s="4" t="n">
        <v>823</v>
      </c>
      <c r="G119" s="4" t="n">
        <v>445.8</v>
      </c>
      <c r="H119" s="4" t="n">
        <v>258.4</v>
      </c>
      <c r="I119" s="4"/>
    </row>
    <row r="120" customFormat="false" ht="15" hidden="false" customHeight="false" outlineLevel="0" collapsed="false">
      <c r="A120" s="4" t="s">
        <v>287</v>
      </c>
      <c r="B120" s="4" t="n">
        <v>244</v>
      </c>
      <c r="C120" s="4" t="s">
        <v>209</v>
      </c>
      <c r="D120" s="4" t="s">
        <v>283</v>
      </c>
      <c r="E120" s="4" t="n">
        <v>457</v>
      </c>
      <c r="F120" s="4" t="n">
        <v>861</v>
      </c>
      <c r="G120" s="4" t="n">
        <v>445.8</v>
      </c>
      <c r="H120" s="4" t="n">
        <v>142</v>
      </c>
      <c r="I120" s="4"/>
    </row>
    <row r="121" customFormat="false" ht="15" hidden="false" customHeight="false" outlineLevel="0" collapsed="false">
      <c r="A121" s="4" t="s">
        <v>287</v>
      </c>
      <c r="B121" s="4" t="n">
        <v>211</v>
      </c>
      <c r="C121" s="4" t="s">
        <v>93</v>
      </c>
      <c r="D121" s="4" t="s">
        <v>291</v>
      </c>
      <c r="E121" s="4" t="n">
        <v>907</v>
      </c>
      <c r="F121" s="4" t="n">
        <v>1111</v>
      </c>
      <c r="G121" s="4" t="n">
        <v>392</v>
      </c>
      <c r="H121" s="4" t="n">
        <v>100</v>
      </c>
      <c r="I121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LibreOffice_project/0fee9b7af4ed8823fb6ed0b53e2a3e73b2087f4b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2026-10-19T07:52:40Z</dcterms:created>
  <dc:creator>openpyxl</dc:creator>
  <dc:description/>
  <dc:language>en-PH</dc:language>
  <cp:lastModifiedBy/>
  <dcterms:modified xsi:type="dcterms:W3CDTF">2026-10-19T07:52:40Z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