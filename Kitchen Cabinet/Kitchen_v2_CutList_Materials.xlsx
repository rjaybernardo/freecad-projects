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terials" sheetId="2" state="visible" r:id="rId4"/>
    <sheet name="Cut List" sheetId="3" state="visible" r:id="rId5"/>
    <sheet name="Fronts &amp; Hinges" sheetId="4" state="visible" r:id="rId6"/>
    <sheet name="Sheet Layout" sheetId="5" state="visible" r:id="rId7"/>
  </sheets>
  <definedNames>
    <definedName function="false" hidden="true" localSheetId="2" name="_xlnm._FilterDatabase" vbProcedure="false">'Cut List'!$A$4:$K$154</definedName>
    <definedName function="false" hidden="true" localSheetId="1" name="_xlnm._FilterDatabase" vbProcedure="false">Materials!$A$4:$F$49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B7" authorId="0">
      <text>
        <r>
          <rPr>
            <sz val="10"/>
            <rFont val="Arial"/>
            <family val="2"/>
          </rPr>
          <t xml:space="preserve">Computed by the nesting in make_kitchen_cutlist.py; re-run it after model changes.</t>
        </r>
      </text>
    </comment>
  </commentList>
</comments>
</file>

<file path=xl/sharedStrings.xml><?xml version="1.0" encoding="utf-8"?>
<sst xmlns="http://schemas.openxmlformats.org/spreadsheetml/2006/main" count="1595" uniqueCount="245">
  <si>
    <t xml:space="preserve">Kitchen v2 - Cut list &amp; materials summary</t>
  </si>
  <si>
    <t xml:space="preserve">Material: 3/4" PVC board (18 mm) for every cabinet panel; 6 mm PVC for toe-kick drawer bottoms.</t>
  </si>
  <si>
    <t xml:space="preserve">Item</t>
  </si>
  <si>
    <t xml:space="preserve">Value</t>
  </si>
  <si>
    <t xml:space="preserve">Unit</t>
  </si>
  <si>
    <t xml:space="preserve">Basis</t>
  </si>
  <si>
    <t xml:space="preserve">PVC 18 mm pieces</t>
  </si>
  <si>
    <t xml:space="preserve">pcs</t>
  </si>
  <si>
    <t xml:space="preserve">Cut List</t>
  </si>
  <si>
    <t xml:space="preserve">PVC 18 mm part area</t>
  </si>
  <si>
    <t xml:space="preserve">m²</t>
  </si>
  <si>
    <t xml:space="preserve">PVC 18 mm sheets (4x8)</t>
  </si>
  <si>
    <t xml:space="preserve">sheets</t>
  </si>
  <si>
    <t xml:space="preserve">Nested by make_kitchen_cutlist.py (4 mm kerf, 5 mm trim) - see Sheet Layout / PDF</t>
  </si>
  <si>
    <t xml:space="preserve">PVC 18 mm sheet yield</t>
  </si>
  <si>
    <t xml:space="preserve">%</t>
  </si>
  <si>
    <t xml:space="preserve">part area / sheet area</t>
  </si>
  <si>
    <t xml:space="preserve">PVC 6 mm pieces</t>
  </si>
  <si>
    <t xml:space="preserve">PVC 6 mm sheets (4x8)</t>
  </si>
  <si>
    <t xml:space="preserve">Nested (toe-kick drawer bottoms)</t>
  </si>
  <si>
    <t xml:space="preserve">Countertop pieces</t>
  </si>
  <si>
    <t xml:space="preserve">Fabricator templates on site</t>
  </si>
  <si>
    <t xml:space="preserve">Hinges</t>
  </si>
  <si>
    <t xml:space="preserve">Fronts &amp; Hinges sheet</t>
  </si>
  <si>
    <t xml:space="preserve">Tip: buy 1 spare 18 mm sheet for cutting mistakes and future repairs.</t>
  </si>
  <si>
    <t xml:space="preserve">List of materials</t>
  </si>
  <si>
    <t xml:space="preserve">Quantities in black are formulas; blue are counts taken from the model or rules of thumb (see Basis). Add a Unit Price column for your supplier quotes.</t>
  </si>
  <si>
    <t xml:space="preserve">Category</t>
  </si>
  <si>
    <t xml:space="preserve">Specification</t>
  </si>
  <si>
    <t xml:space="preserve">Qty</t>
  </si>
  <si>
    <t xml:space="preserve">Basis / note</t>
  </si>
  <si>
    <t xml:space="preserve">Board</t>
  </si>
  <si>
    <t xml:space="preserve">PVC board 3/4" (18 mm), 4x8 ft</t>
  </si>
  <si>
    <t xml:space="preserve">1220 x 2440 x 18</t>
  </si>
  <si>
    <t xml:space="preserve">Nested sheets (Summary). +1 spare recommended</t>
  </si>
  <si>
    <t xml:space="preserve">PVC board 6 mm, 4x8 ft</t>
  </si>
  <si>
    <t xml:space="preserve">1220 x 2440 x 6</t>
  </si>
  <si>
    <t xml:space="preserve">Toe-kick drawer bottoms; offcuts usable for small parts</t>
  </si>
  <si>
    <t xml:space="preserve">Countertop</t>
  </si>
  <si>
    <t xml:space="preserve">Countertop - Island</t>
  </si>
  <si>
    <t xml:space="preserve">1726 x 953 x 38, solid surface / granite, cooktop cut-out 700x400</t>
  </si>
  <si>
    <t xml:space="preserve">pc</t>
  </si>
  <si>
    <t xml:space="preserve">Solid surface / granite / quartz; fabricator measures on site</t>
  </si>
  <si>
    <t xml:space="preserve">Countertop - Sink_Counter</t>
  </si>
  <si>
    <t xml:space="preserve">1300 x 635 x 38, solid surface / granite, sink cut-out 770x420</t>
  </si>
  <si>
    <t xml:space="preserve">Countertop - Washer_Bay</t>
  </si>
  <si>
    <t xml:space="preserve">671 x 635 x 38, solid surface / granite, corner notch 144x144 for pipe</t>
  </si>
  <si>
    <t xml:space="preserve">Fittings</t>
  </si>
  <si>
    <t xml:space="preserve">Concealed hinge 35 mm, soft-close, clip-on</t>
  </si>
  <si>
    <t xml:space="preserve">full overlay</t>
  </si>
  <si>
    <t xml:space="preserve">Handles or push-to-open latches</t>
  </si>
  <si>
    <t xml:space="preserve">per door / drawer front</t>
  </si>
  <si>
    <t xml:space="preserve">Toe-kick drawers excluded (push-to-open runners)</t>
  </si>
  <si>
    <t xml:space="preserve">Fasteners</t>
  </si>
  <si>
    <t xml:space="preserve">Screws for PVC board (confirmat 7x50 or 4x40 coarse-thread)</t>
  </si>
  <si>
    <t xml:space="preserve">carcass joints</t>
  </si>
  <si>
    <t xml:space="preserve">~4 per panel (rule of thumb); pre-drill PVC</t>
  </si>
  <si>
    <t xml:space="preserve">Short screws 4x16 (hinges, runners, rails)</t>
  </si>
  <si>
    <t xml:space="preserve">fittings</t>
  </si>
  <si>
    <t xml:space="preserve">4 per hinge plate+cup, 6 per runner side</t>
  </si>
  <si>
    <t xml:space="preserve">Wall mount</t>
  </si>
  <si>
    <t xml:space="preserve">Wall-cabinet hanging bracket (adjustable) + rail</t>
  </si>
  <si>
    <t xml:space="preserve">pair per cabinet</t>
  </si>
  <si>
    <t xml:space="preserve">5 wall cabinets in the model x 2</t>
  </si>
  <si>
    <t xml:space="preserve">Masonry anchors / screws 8 mm</t>
  </si>
  <si>
    <t xml:space="preserve">for brackets + rails</t>
  </si>
  <si>
    <t xml:space="preserve">2 per bracket</t>
  </si>
  <si>
    <t xml:space="preserve">Finishing</t>
  </si>
  <si>
    <t xml:space="preserve">PVC edge band 22 mm (optional)</t>
  </si>
  <si>
    <t xml:space="preserve">door / drawer front edges</t>
  </si>
  <si>
    <t xml:space="preserve">m</t>
  </si>
  <si>
    <t xml:space="preserve">PVC board edges can stay bare; +10% waste</t>
  </si>
  <si>
    <t xml:space="preserve">Neutral-cure silicone, white/clear</t>
  </si>
  <si>
    <t xml:space="preserve">sink, countertop joints, backsplash</t>
  </si>
  <si>
    <t xml:space="preserve">tubes</t>
  </si>
  <si>
    <t xml:space="preserve">rule of thumb</t>
  </si>
  <si>
    <t xml:space="preserve">Shelf pins (5 mm, 32 mm system)</t>
  </si>
  <si>
    <t xml:space="preserve">Over_Ref_Cabinet, Upper_400, Upper_Hood_620, Upper_Over_Washer</t>
  </si>
  <si>
    <t xml:space="preserve">Racks &amp; runners</t>
  </si>
  <si>
    <t xml:space="preserve">Toe-kick drawer runner pair 400 mm, low profile, push-to-open</t>
  </si>
  <si>
    <t xml:space="preserve">Base_Racks_400, Base_Sink_900, Island_1_Racks_450, Island_2_Induction_750, Island_3_Racks_450</t>
  </si>
  <si>
    <t xml:space="preserve">Under-sink pull-out tray (door-mounted cabinet)</t>
  </si>
  <si>
    <t xml:space="preserve">839 W x 450 D x 120 H</t>
  </si>
  <si>
    <t xml:space="preserve">Base_Sink_900</t>
  </si>
  <si>
    <t xml:space="preserve">Full-extension soft-close runner pair, 450 mm</t>
  </si>
  <si>
    <t xml:space="preserve">Pot / pan basket (400 cabinet size, 364 clear, 500 runners)</t>
  </si>
  <si>
    <t xml:space="preserve">339 W x 500 D x 200 H</t>
  </si>
  <si>
    <t xml:space="preserve">Base_Racks_400</t>
  </si>
  <si>
    <t xml:space="preserve">Full-extension soft-close runner pair, 500 mm</t>
  </si>
  <si>
    <t xml:space="preserve">Base_Racks_400, Island_1_Racks_450, Island_2_Induction_750, Island_3_Racks_450</t>
  </si>
  <si>
    <t xml:space="preserve">Bowl + plate basket (400 cabinet size, 364 clear, 500 runners)</t>
  </si>
  <si>
    <t xml:space="preserve">339 W x 500 D x 150 H</t>
  </si>
  <si>
    <t xml:space="preserve">Cutlery / utensil tray (400 cabinet size, 364 clear, 500 runners)</t>
  </si>
  <si>
    <t xml:space="preserve">339 W x 500 D x 70 H</t>
  </si>
  <si>
    <t xml:space="preserve">Appliance fit</t>
  </si>
  <si>
    <t xml:space="preserve">Flat duct 204x60 + 150 round-to-flat adapter, up the cabinet back to the ceiling (cut-out in the cabinet top)</t>
  </si>
  <si>
    <t xml:space="preserve">Upper_Hood_620</t>
  </si>
  <si>
    <t xml:space="preserve">Built-in telescopic range hood 60 cm (body &lt;= 560 W for a 584 clear cabinet), ducted, 150 outlet</t>
  </si>
  <si>
    <t xml:space="preserve">560 W x 280 D x 180 H</t>
  </si>
  <si>
    <t xml:space="preserve">Paint / wrap the exposed pipe (counter -&gt; wall cabinet) to match the backsplash</t>
  </si>
  <si>
    <t xml:space="preserve">458 H section</t>
  </si>
  <si>
    <t xml:space="preserve">lot</t>
  </si>
  <si>
    <t xml:space="preserve">Washer_Bay</t>
  </si>
  <si>
    <t xml:space="preserve">Dish drainer drip tray</t>
  </si>
  <si>
    <t xml:space="preserve">854 W x 274 D x 25 H</t>
  </si>
  <si>
    <t xml:space="preserve">Upper_Sink_900</t>
  </si>
  <si>
    <t xml:space="preserve">Dish drainer, plate tier (900 cabinet)</t>
  </si>
  <si>
    <t xml:space="preserve">854 W x 274 D x 120 H</t>
  </si>
  <si>
    <t xml:space="preserve">Dish drainer, cup / bowl tier (900 cabinet)</t>
  </si>
  <si>
    <t xml:space="preserve">854 W x 274 D x 80 H</t>
  </si>
  <si>
    <t xml:space="preserve">Pot / pan basket (450 cabinet size, 414 clear, 500 runners)</t>
  </si>
  <si>
    <t xml:space="preserve">389 W x 500 D x 200 H</t>
  </si>
  <si>
    <t xml:space="preserve">Island_1_Racks_450, Island_3_Racks_450</t>
  </si>
  <si>
    <t xml:space="preserve">Bowl + plate basket (450 cabinet size, 414 clear, 500 runners)</t>
  </si>
  <si>
    <t xml:space="preserve">389 W x 500 D x 150 H</t>
  </si>
  <si>
    <t xml:space="preserve">Cutlery / utensil tray (450 cabinet size, 414 clear, 500 runners)</t>
  </si>
  <si>
    <t xml:space="preserve">389 W x 500 D x 70 H</t>
  </si>
  <si>
    <t xml:space="preserve">Deep pot basket (750 cabinet size, 714 clear, 500 runners)</t>
  </si>
  <si>
    <t xml:space="preserve">689 W x 500 D x 250 H</t>
  </si>
  <si>
    <t xml:space="preserve">Island_2_Induction_750</t>
  </si>
  <si>
    <t xml:space="preserve">Pot / pan basket (750 cabinet size, 714 clear, 500 runners)</t>
  </si>
  <si>
    <t xml:space="preserve">689 W x 500 D x 200 H</t>
  </si>
  <si>
    <t xml:space="preserve">Vent grille / 6 mm gap behind the top fixed front (induction air)</t>
  </si>
  <si>
    <t xml:space="preserve">Electrical</t>
  </si>
  <si>
    <t xml:space="preserve">Induction power: dedicated circuit in floor conduit to the island</t>
  </si>
  <si>
    <t xml:space="preserve">Island</t>
  </si>
  <si>
    <t xml:space="preserve">Lighting</t>
  </si>
  <si>
    <t xml:space="preserve">Ch1 under-cabinet: 24 V COB LED strip 4000K 10 W/m + Al profile 16x7 with diffuser</t>
  </si>
  <si>
    <t xml:space="preserve">Lighting_LED</t>
  </si>
  <si>
    <t xml:space="preserve">Ch1 under-cabinet: 24 V LED driver 30 W</t>
  </si>
  <si>
    <t xml:space="preserve">Ch2 toe-kick wall run: 24 V COB LED strip 4000K 10 W/m + Al profile 16x7 with diffuser</t>
  </si>
  <si>
    <t xml:space="preserve">Ch2 toe-kick wall run: 24 V LED driver 20 W</t>
  </si>
  <si>
    <t xml:space="preserve">Ch3 toe-kick island: 24 V COB LED strip 4000K 10 W/m + Al profile 16x7 with diffuser</t>
  </si>
  <si>
    <t xml:space="preserve">Ch3 toe-kick island: 24 V LED driver 30 W</t>
  </si>
  <si>
    <t xml:space="preserve">Wall switch (backsplash) for the under-cabinet lights</t>
  </si>
  <si>
    <t xml:space="preserve">PIR motion sensor for 24 V strip (toe-kick)</t>
  </si>
  <si>
    <t xml:space="preserve">24 V cable 2 x 0.75 mm2 (+20% spare)</t>
  </si>
  <si>
    <t xml:space="preserve">230 V feed to drivers / switch (electrician, in conduit)</t>
  </si>
  <si>
    <t xml:space="preserve">Cable grommets 10 mm (cabinet top / bottom / carcass holes)</t>
  </si>
  <si>
    <t xml:space="preserve">Kitchen v2 - Cut List (all sizes in mm, finished size, no edge allowance)</t>
  </si>
  <si>
    <t xml:space="preserve">From build_kitchen_v2.py. PVC has no grain: parts may be rotated on the sheet. 'Notched' parts: cut the full rectangle, then the notch shown in the FreeCAD model.</t>
  </si>
  <si>
    <t xml:space="preserve">Ref #</t>
  </si>
  <si>
    <t xml:space="preserve">Module</t>
  </si>
  <si>
    <t xml:space="preserve">Part</t>
  </si>
  <si>
    <t xml:space="preserve">Length</t>
  </si>
  <si>
    <t xml:space="preserve">Width</t>
  </si>
  <si>
    <t xml:space="preserve">Thickness</t>
  </si>
  <si>
    <t xml:space="preserve">Material</t>
  </si>
  <si>
    <t xml:space="preserve">Area m²</t>
  </si>
  <si>
    <t xml:space="preserve">Note</t>
  </si>
  <si>
    <t xml:space="preserve">On sheet(s)</t>
  </si>
  <si>
    <t xml:space="preserve">Back</t>
  </si>
  <si>
    <t xml:space="preserve">PVC board 18 mm</t>
  </si>
  <si>
    <t xml:space="preserve">A9</t>
  </si>
  <si>
    <t xml:space="preserve">Bottom</t>
  </si>
  <si>
    <t xml:space="preserve">A11</t>
  </si>
  <si>
    <t xml:space="preserve">DrawerFront_1</t>
  </si>
  <si>
    <t xml:space="preserve">A12</t>
  </si>
  <si>
    <t xml:space="preserve">DrawerFront_2</t>
  </si>
  <si>
    <t xml:space="preserve">DrawerFront_3</t>
  </si>
  <si>
    <t xml:space="preserve">Kick_Back</t>
  </si>
  <si>
    <t xml:space="preserve">Kick_DrawerFront</t>
  </si>
  <si>
    <t xml:space="preserve">Kick_Inner_Front</t>
  </si>
  <si>
    <t xml:space="preserve">A10</t>
  </si>
  <si>
    <t xml:space="preserve">Kick_Side_A</t>
  </si>
  <si>
    <t xml:space="preserve">Kick_Side_B</t>
  </si>
  <si>
    <t xml:space="preserve">A1</t>
  </si>
  <si>
    <t xml:space="preserve">Plinth_Back</t>
  </si>
  <si>
    <t xml:space="preserve">Plinth_Side_A</t>
  </si>
  <si>
    <t xml:space="preserve">Plinth_Side_B</t>
  </si>
  <si>
    <t xml:space="preserve">Side_A</t>
  </si>
  <si>
    <t xml:space="preserve">A8</t>
  </si>
  <si>
    <t xml:space="preserve">Side_B</t>
  </si>
  <si>
    <t xml:space="preserve">Stretcher_Back</t>
  </si>
  <si>
    <t xml:space="preserve">Stretcher_Front</t>
  </si>
  <si>
    <t xml:space="preserve">A7</t>
  </si>
  <si>
    <t xml:space="preserve">Door_1</t>
  </si>
  <si>
    <t xml:space="preserve">Door_2</t>
  </si>
  <si>
    <t xml:space="preserve">A6</t>
  </si>
  <si>
    <t xml:space="preserve">A2</t>
  </si>
  <si>
    <t xml:space="preserve">A4</t>
  </si>
  <si>
    <t xml:space="preserve">A3</t>
  </si>
  <si>
    <t xml:space="preserve">A5</t>
  </si>
  <si>
    <t xml:space="preserve">Island_Back_Panel (seating side)</t>
  </si>
  <si>
    <t xml:space="preserve">Island_End_Panel_A</t>
  </si>
  <si>
    <t xml:space="preserve">Island_End_Panel_B</t>
  </si>
  <si>
    <t xml:space="preserve">Island_1_Racks_450</t>
  </si>
  <si>
    <t xml:space="preserve">Island_3_Racks_450</t>
  </si>
  <si>
    <t xml:space="preserve">Over_Ref_Cabinet</t>
  </si>
  <si>
    <t xml:space="preserve">notched for pipe - see model</t>
  </si>
  <si>
    <t xml:space="preserve">Pipe_Chase_Front</t>
  </si>
  <si>
    <t xml:space="preserve">Pipe_Chase_Side</t>
  </si>
  <si>
    <t xml:space="preserve">Shelf_1</t>
  </si>
  <si>
    <t xml:space="preserve">Top</t>
  </si>
  <si>
    <t xml:space="preserve">Ref_Tower</t>
  </si>
  <si>
    <t xml:space="preserve">End_Panel_Ref</t>
  </si>
  <si>
    <t xml:space="preserve">Filler_Ref</t>
  </si>
  <si>
    <t xml:space="preserve">Tall_Panel</t>
  </si>
  <si>
    <t xml:space="preserve">Scribe_Strips</t>
  </si>
  <si>
    <t xml:space="preserve">Crown_Ref</t>
  </si>
  <si>
    <t xml:space="preserve">Crown_Uppers</t>
  </si>
  <si>
    <t xml:space="preserve">Crown_Washer</t>
  </si>
  <si>
    <t xml:space="preserve">Stove_Bay</t>
  </si>
  <si>
    <t xml:space="preserve">Stove_Platform_Riser</t>
  </si>
  <si>
    <t xml:space="preserve">under the platform top</t>
  </si>
  <si>
    <t xml:space="preserve">A8, A9</t>
  </si>
  <si>
    <t xml:space="preserve">Stove_Platform_Top</t>
  </si>
  <si>
    <t xml:space="preserve">platform 64 H total</t>
  </si>
  <si>
    <t xml:space="preserve">Upper_400</t>
  </si>
  <si>
    <t xml:space="preserve">Shelf_2</t>
  </si>
  <si>
    <t xml:space="preserve">hood cut-out - see model</t>
  </si>
  <si>
    <t xml:space="preserve">Upper_Over_Washer</t>
  </si>
  <si>
    <t xml:space="preserve">Back_Rail</t>
  </si>
  <si>
    <t xml:space="preserve">End_Panel</t>
  </si>
  <si>
    <t xml:space="preserve">Panel_Stove_Side</t>
  </si>
  <si>
    <t xml:space="preserve">Rail_Front</t>
  </si>
  <si>
    <t xml:space="preserve">Kick_Bottom_6mm_PVC</t>
  </si>
  <si>
    <t xml:space="preserve">PVC board 6 mm</t>
  </si>
  <si>
    <t xml:space="preserve">B1</t>
  </si>
  <si>
    <t xml:space="preserve">Countertop 38 mm</t>
  </si>
  <si>
    <t xml:space="preserve">solid surface / granite, cooktop cut-out 700x400</t>
  </si>
  <si>
    <t xml:space="preserve">Sink_Counter</t>
  </si>
  <si>
    <t xml:space="preserve">solid surface / granite, sink cut-out 770x420</t>
  </si>
  <si>
    <t xml:space="preserve">solid surface / granite, corner notch 144x144 for pipe</t>
  </si>
  <si>
    <t xml:space="preserve">Total pieces / area</t>
  </si>
  <si>
    <t xml:space="preserve">Doors and drawer fronts</t>
  </si>
  <si>
    <t xml:space="preserve">Hinges: 35 mm cup, soft-close, clip-on. Rule used: door long side &lt;= 900 mm -&gt; 2 hinges, &lt;= 1600 mm -&gt; 3, longer -&gt; 4 (typical hinge-maker guidance; check your hinge brand).</t>
  </si>
  <si>
    <t xml:space="preserve">Long side</t>
  </si>
  <si>
    <t xml:space="preserve">Short side</t>
  </si>
  <si>
    <t xml:space="preserve">Type</t>
  </si>
  <si>
    <t xml:space="preserve">Handle / latch</t>
  </si>
  <si>
    <t xml:space="preserve">Front edge length m</t>
  </si>
  <si>
    <t xml:space="preserve">Drawer</t>
  </si>
  <si>
    <t xml:space="preserve">Toe-kick drawer</t>
  </si>
  <si>
    <t xml:space="preserve">Door</t>
  </si>
  <si>
    <t xml:space="preserve">Totals</t>
  </si>
  <si>
    <t xml:space="preserve">Nesting on 4x8 sheets (x, y from the sheet corner, mm) - see kitchen_v2_cutting_diagram.pdf</t>
  </si>
  <si>
    <t xml:space="preserve">Sheet 2440 x 1220, 5 mm edge trim, 4 mm saw kerf, guillotine cuts.</t>
  </si>
  <si>
    <t xml:space="preserve">Sheet</t>
  </si>
  <si>
    <t xml:space="preserve">X</t>
  </si>
  <si>
    <t xml:space="preserve">Y</t>
  </si>
  <si>
    <t xml:space="preserve">Along 2440</t>
  </si>
  <si>
    <t xml:space="preserve">Along 1220</t>
  </si>
  <si>
    <t xml:space="preserve">Rotated</t>
  </si>
  <si>
    <t xml:space="preserve">yes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</si>
</sst>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%"/>
    <numFmt numFmtId="168" formatCode="0.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SUMIFS('Cut List'!$D$5:$D$154,'Cut List'!$H$5:$H$154,"PVC board 18 mm")</f>
        <v>144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f aca="false">SUMIFS('Cut List'!$I$5:$I$154,'Cut List'!$H$5:$H$154,"PVC board 18 mm")</f>
        <v>32.5648574</v>
      </c>
      <c r="C6" s="4" t="s">
        <v>10</v>
      </c>
      <c r="D6" s="4" t="s">
        <v>8</v>
      </c>
    </row>
    <row r="7" customFormat="false" ht="15" hidden="false" customHeight="false" outlineLevel="0" collapsed="false">
      <c r="A7" s="4" t="s">
        <v>11</v>
      </c>
      <c r="B7" s="7" t="n">
        <v>12</v>
      </c>
      <c r="C7" s="4" t="s">
        <v>12</v>
      </c>
      <c r="D7" s="4" t="s">
        <v>13</v>
      </c>
    </row>
    <row r="8" customFormat="false" ht="15" hidden="false" customHeight="false" outlineLevel="0" collapsed="false">
      <c r="A8" s="4" t="s">
        <v>14</v>
      </c>
      <c r="B8" s="8" t="n">
        <f aca="false">B6/(B7*2.44*1.22)</f>
        <v>0.91162930551823</v>
      </c>
      <c r="C8" s="4" t="s">
        <v>15</v>
      </c>
      <c r="D8" s="4" t="s">
        <v>16</v>
      </c>
    </row>
    <row r="9" customFormat="false" ht="15" hidden="false" customHeight="false" outlineLevel="0" collapsed="false">
      <c r="A9" s="4" t="s">
        <v>17</v>
      </c>
      <c r="B9" s="5" t="n">
        <f aca="false">SUMIFS('Cut List'!$D$5:$D$154,'Cut List'!$H$5:$H$154,"PVC board 6 mm")</f>
        <v>5</v>
      </c>
      <c r="C9" s="4" t="s">
        <v>7</v>
      </c>
      <c r="D9" s="4" t="s">
        <v>8</v>
      </c>
    </row>
    <row r="10" customFormat="false" ht="15" hidden="false" customHeight="false" outlineLevel="0" collapsed="false">
      <c r="A10" s="4" t="s">
        <v>18</v>
      </c>
      <c r="B10" s="7" t="n">
        <v>1</v>
      </c>
      <c r="C10" s="4" t="s">
        <v>12</v>
      </c>
      <c r="D10" s="4" t="s">
        <v>19</v>
      </c>
    </row>
    <row r="11" customFormat="false" ht="15" hidden="false" customHeight="false" outlineLevel="0" collapsed="false">
      <c r="A11" s="4" t="s">
        <v>20</v>
      </c>
      <c r="B11" s="5" t="n">
        <f aca="false">SUMIFS('Cut List'!$D$5:$D$154,'Cut List'!$H$5:$H$154,"Countertop 38 mm")</f>
        <v>3</v>
      </c>
      <c r="C11" s="4" t="s">
        <v>7</v>
      </c>
      <c r="D11" s="4" t="s">
        <v>21</v>
      </c>
    </row>
    <row r="12" customFormat="false" ht="15" hidden="false" customHeight="false" outlineLevel="0" collapsed="false">
      <c r="A12" s="4" t="s">
        <v>22</v>
      </c>
      <c r="B12" s="5" t="n">
        <f aca="false">'Fronts &amp; Hinges'!H32</f>
        <v>25</v>
      </c>
      <c r="C12" s="4" t="s">
        <v>7</v>
      </c>
      <c r="D12" s="4" t="s">
        <v>23</v>
      </c>
    </row>
    <row r="15" customFormat="false" ht="15" hidden="false" customHeight="false" outlineLevel="0" collapsed="false">
      <c r="A15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5" min="4" style="0" width="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3" t="s">
        <v>2</v>
      </c>
      <c r="C4" s="3" t="s">
        <v>28</v>
      </c>
      <c r="D4" s="3" t="s">
        <v>29</v>
      </c>
      <c r="E4" s="3" t="s">
        <v>4</v>
      </c>
      <c r="F4" s="3" t="s">
        <v>30</v>
      </c>
    </row>
    <row r="5" customFormat="false" ht="15" hidden="false" customHeight="false" outlineLevel="0" collapsed="false">
      <c r="A5" s="4" t="s">
        <v>31</v>
      </c>
      <c r="B5" s="9" t="s">
        <v>32</v>
      </c>
      <c r="C5" s="4" t="s">
        <v>33</v>
      </c>
      <c r="D5" s="5" t="n">
        <f aca="false">Summary!B7</f>
        <v>12</v>
      </c>
      <c r="E5" s="4" t="s">
        <v>12</v>
      </c>
      <c r="F5" s="9" t="s">
        <v>34</v>
      </c>
    </row>
    <row r="6" customFormat="false" ht="15" hidden="false" customHeight="false" outlineLevel="0" collapsed="false">
      <c r="A6" s="4" t="s">
        <v>31</v>
      </c>
      <c r="B6" s="9" t="s">
        <v>35</v>
      </c>
      <c r="C6" s="4" t="s">
        <v>36</v>
      </c>
      <c r="D6" s="5" t="n">
        <f aca="false">Summary!B10</f>
        <v>1</v>
      </c>
      <c r="E6" s="4" t="s">
        <v>12</v>
      </c>
      <c r="F6" s="9" t="s">
        <v>37</v>
      </c>
    </row>
    <row r="7" customFormat="false" ht="15" hidden="false" customHeight="false" outlineLevel="0" collapsed="false">
      <c r="A7" s="4" t="s">
        <v>38</v>
      </c>
      <c r="B7" s="9" t="s">
        <v>39</v>
      </c>
      <c r="C7" s="4" t="s">
        <v>40</v>
      </c>
      <c r="D7" s="7" t="n">
        <v>1</v>
      </c>
      <c r="E7" s="4" t="s">
        <v>41</v>
      </c>
      <c r="F7" s="9" t="s">
        <v>42</v>
      </c>
    </row>
    <row r="8" customFormat="false" ht="15" hidden="false" customHeight="false" outlineLevel="0" collapsed="false">
      <c r="A8" s="4" t="s">
        <v>38</v>
      </c>
      <c r="B8" s="9" t="s">
        <v>43</v>
      </c>
      <c r="C8" s="4" t="s">
        <v>44</v>
      </c>
      <c r="D8" s="7" t="n">
        <v>1</v>
      </c>
      <c r="E8" s="4" t="s">
        <v>41</v>
      </c>
      <c r="F8" s="9" t="s">
        <v>42</v>
      </c>
    </row>
    <row r="9" customFormat="false" ht="15" hidden="false" customHeight="false" outlineLevel="0" collapsed="false">
      <c r="A9" s="4" t="s">
        <v>38</v>
      </c>
      <c r="B9" s="9" t="s">
        <v>45</v>
      </c>
      <c r="C9" s="4" t="s">
        <v>46</v>
      </c>
      <c r="D9" s="7" t="n">
        <v>1</v>
      </c>
      <c r="E9" s="4" t="s">
        <v>41</v>
      </c>
      <c r="F9" s="9" t="s">
        <v>42</v>
      </c>
    </row>
    <row r="10" customFormat="false" ht="15" hidden="false" customHeight="false" outlineLevel="0" collapsed="false">
      <c r="A10" s="4" t="s">
        <v>47</v>
      </c>
      <c r="B10" s="9" t="s">
        <v>48</v>
      </c>
      <c r="C10" s="4" t="s">
        <v>49</v>
      </c>
      <c r="D10" s="5" t="n">
        <f aca="false">Summary!B12</f>
        <v>25</v>
      </c>
      <c r="E10" s="4" t="s">
        <v>7</v>
      </c>
      <c r="F10" s="9" t="s">
        <v>23</v>
      </c>
    </row>
    <row r="11" customFormat="false" ht="15" hidden="false" customHeight="false" outlineLevel="0" collapsed="false">
      <c r="A11" s="4" t="s">
        <v>47</v>
      </c>
      <c r="B11" s="9" t="s">
        <v>50</v>
      </c>
      <c r="C11" s="4" t="s">
        <v>51</v>
      </c>
      <c r="D11" s="5" t="n">
        <f aca="false">'Fronts &amp; Hinges'!I32</f>
        <v>22</v>
      </c>
      <c r="E11" s="4" t="s">
        <v>7</v>
      </c>
      <c r="F11" s="9" t="s">
        <v>52</v>
      </c>
    </row>
    <row r="12" customFormat="false" ht="26.85" hidden="false" customHeight="false" outlineLevel="0" collapsed="false">
      <c r="A12" s="4" t="s">
        <v>53</v>
      </c>
      <c r="B12" s="9" t="s">
        <v>54</v>
      </c>
      <c r="C12" s="4" t="s">
        <v>55</v>
      </c>
      <c r="D12" s="5" t="n">
        <f aca="false">ROUND(4*Summary!B5,-1)</f>
        <v>580</v>
      </c>
      <c r="E12" s="4" t="s">
        <v>7</v>
      </c>
      <c r="F12" s="9" t="s">
        <v>56</v>
      </c>
    </row>
    <row r="13" customFormat="false" ht="15" hidden="false" customHeight="false" outlineLevel="0" collapsed="false">
      <c r="A13" s="4" t="s">
        <v>53</v>
      </c>
      <c r="B13" s="9" t="s">
        <v>57</v>
      </c>
      <c r="C13" s="4" t="s">
        <v>58</v>
      </c>
      <c r="D13" s="5" t="n">
        <f aca="false">8*Summary!B12+12*SUMIFS(D:D,B:B,"*runner pair*")</f>
        <v>404</v>
      </c>
      <c r="E13" s="4" t="s">
        <v>7</v>
      </c>
      <c r="F13" s="9" t="s">
        <v>59</v>
      </c>
    </row>
    <row r="14" customFormat="false" ht="15" hidden="false" customHeight="false" outlineLevel="0" collapsed="false">
      <c r="A14" s="4" t="s">
        <v>60</v>
      </c>
      <c r="B14" s="9" t="s">
        <v>61</v>
      </c>
      <c r="C14" s="4" t="s">
        <v>62</v>
      </c>
      <c r="D14" s="7" t="n">
        <v>10</v>
      </c>
      <c r="E14" s="4" t="s">
        <v>7</v>
      </c>
      <c r="F14" s="9" t="s">
        <v>63</v>
      </c>
    </row>
    <row r="15" customFormat="false" ht="15" hidden="false" customHeight="false" outlineLevel="0" collapsed="false">
      <c r="A15" s="4" t="s">
        <v>60</v>
      </c>
      <c r="B15" s="9" t="s">
        <v>64</v>
      </c>
      <c r="C15" s="4" t="s">
        <v>65</v>
      </c>
      <c r="D15" s="7" t="n">
        <v>20</v>
      </c>
      <c r="E15" s="4" t="s">
        <v>7</v>
      </c>
      <c r="F15" s="9" t="s">
        <v>66</v>
      </c>
    </row>
    <row r="16" customFormat="false" ht="15" hidden="false" customHeight="false" outlineLevel="0" collapsed="false">
      <c r="A16" s="4" t="s">
        <v>67</v>
      </c>
      <c r="B16" s="9" t="s">
        <v>68</v>
      </c>
      <c r="C16" s="4" t="s">
        <v>69</v>
      </c>
      <c r="D16" s="5" t="n">
        <f aca="false">ROUNDUP('Fronts &amp; Hinges'!J32*1.1,0)</f>
        <v>55</v>
      </c>
      <c r="E16" s="4" t="s">
        <v>70</v>
      </c>
      <c r="F16" s="9" t="s">
        <v>71</v>
      </c>
    </row>
    <row r="17" customFormat="false" ht="15" hidden="false" customHeight="false" outlineLevel="0" collapsed="false">
      <c r="A17" s="4" t="s">
        <v>67</v>
      </c>
      <c r="B17" s="9" t="s">
        <v>72</v>
      </c>
      <c r="C17" s="4" t="s">
        <v>73</v>
      </c>
      <c r="D17" s="7" t="n">
        <v>3</v>
      </c>
      <c r="E17" s="4" t="s">
        <v>74</v>
      </c>
      <c r="F17" s="9" t="s">
        <v>75</v>
      </c>
    </row>
    <row r="18" customFormat="false" ht="15" hidden="false" customHeight="false" outlineLevel="0" collapsed="false">
      <c r="A18" s="4" t="s">
        <v>47</v>
      </c>
      <c r="B18" s="9" t="s">
        <v>76</v>
      </c>
      <c r="C18" s="4"/>
      <c r="D18" s="7" t="n">
        <v>24</v>
      </c>
      <c r="E18" s="4" t="s">
        <v>7</v>
      </c>
      <c r="F18" s="9" t="s">
        <v>77</v>
      </c>
    </row>
    <row r="19" customFormat="false" ht="26.85" hidden="false" customHeight="false" outlineLevel="0" collapsed="false">
      <c r="A19" s="4" t="s">
        <v>78</v>
      </c>
      <c r="B19" s="9" t="s">
        <v>79</v>
      </c>
      <c r="C19" s="4"/>
      <c r="D19" s="7" t="n">
        <v>5</v>
      </c>
      <c r="E19" s="4" t="s">
        <v>7</v>
      </c>
      <c r="F19" s="9" t="s">
        <v>80</v>
      </c>
    </row>
    <row r="20" customFormat="false" ht="15" hidden="false" customHeight="false" outlineLevel="0" collapsed="false">
      <c r="A20" s="4" t="s">
        <v>78</v>
      </c>
      <c r="B20" s="9" t="s">
        <v>81</v>
      </c>
      <c r="C20" s="4" t="s">
        <v>82</v>
      </c>
      <c r="D20" s="7" t="n">
        <v>1</v>
      </c>
      <c r="E20" s="4" t="s">
        <v>7</v>
      </c>
      <c r="F20" s="9" t="s">
        <v>83</v>
      </c>
    </row>
    <row r="21" customFormat="false" ht="15" hidden="false" customHeight="false" outlineLevel="0" collapsed="false">
      <c r="A21" s="4" t="s">
        <v>78</v>
      </c>
      <c r="B21" s="9" t="s">
        <v>84</v>
      </c>
      <c r="C21" s="4"/>
      <c r="D21" s="7" t="n">
        <v>1</v>
      </c>
      <c r="E21" s="4" t="s">
        <v>7</v>
      </c>
      <c r="F21" s="9" t="s">
        <v>83</v>
      </c>
    </row>
    <row r="22" customFormat="false" ht="26.85" hidden="false" customHeight="false" outlineLevel="0" collapsed="false">
      <c r="A22" s="4" t="s">
        <v>78</v>
      </c>
      <c r="B22" s="9" t="s">
        <v>85</v>
      </c>
      <c r="C22" s="4" t="s">
        <v>86</v>
      </c>
      <c r="D22" s="7" t="n">
        <v>1</v>
      </c>
      <c r="E22" s="4" t="s">
        <v>7</v>
      </c>
      <c r="F22" s="9" t="s">
        <v>87</v>
      </c>
    </row>
    <row r="23" customFormat="false" ht="26.85" hidden="false" customHeight="false" outlineLevel="0" collapsed="false">
      <c r="A23" s="4" t="s">
        <v>78</v>
      </c>
      <c r="B23" s="9" t="s">
        <v>88</v>
      </c>
      <c r="C23" s="4"/>
      <c r="D23" s="7" t="n">
        <v>11</v>
      </c>
      <c r="E23" s="4" t="s">
        <v>7</v>
      </c>
      <c r="F23" s="9" t="s">
        <v>89</v>
      </c>
    </row>
    <row r="24" customFormat="false" ht="26.85" hidden="false" customHeight="false" outlineLevel="0" collapsed="false">
      <c r="A24" s="4" t="s">
        <v>78</v>
      </c>
      <c r="B24" s="9" t="s">
        <v>90</v>
      </c>
      <c r="C24" s="4" t="s">
        <v>91</v>
      </c>
      <c r="D24" s="7" t="n">
        <v>1</v>
      </c>
      <c r="E24" s="4" t="s">
        <v>7</v>
      </c>
      <c r="F24" s="9" t="s">
        <v>87</v>
      </c>
    </row>
    <row r="25" customFormat="false" ht="26.85" hidden="false" customHeight="false" outlineLevel="0" collapsed="false">
      <c r="A25" s="4" t="s">
        <v>78</v>
      </c>
      <c r="B25" s="9" t="s">
        <v>92</v>
      </c>
      <c r="C25" s="4" t="s">
        <v>93</v>
      </c>
      <c r="D25" s="7" t="n">
        <v>1</v>
      </c>
      <c r="E25" s="4" t="s">
        <v>7</v>
      </c>
      <c r="F25" s="9" t="s">
        <v>87</v>
      </c>
    </row>
    <row r="26" customFormat="false" ht="26.85" hidden="false" customHeight="false" outlineLevel="0" collapsed="false">
      <c r="A26" s="4" t="s">
        <v>94</v>
      </c>
      <c r="B26" s="9" t="s">
        <v>95</v>
      </c>
      <c r="C26" s="4"/>
      <c r="D26" s="7" t="n">
        <v>1</v>
      </c>
      <c r="E26" s="4" t="s">
        <v>7</v>
      </c>
      <c r="F26" s="9" t="s">
        <v>96</v>
      </c>
    </row>
    <row r="27" customFormat="false" ht="26.85" hidden="false" customHeight="false" outlineLevel="0" collapsed="false">
      <c r="A27" s="4" t="s">
        <v>94</v>
      </c>
      <c r="B27" s="9" t="s">
        <v>97</v>
      </c>
      <c r="C27" s="4" t="s">
        <v>98</v>
      </c>
      <c r="D27" s="7" t="n">
        <v>1</v>
      </c>
      <c r="E27" s="4" t="s">
        <v>7</v>
      </c>
      <c r="F27" s="9" t="s">
        <v>96</v>
      </c>
    </row>
    <row r="28" customFormat="false" ht="26.85" hidden="false" customHeight="false" outlineLevel="0" collapsed="false">
      <c r="A28" s="4" t="s">
        <v>67</v>
      </c>
      <c r="B28" s="9" t="s">
        <v>99</v>
      </c>
      <c r="C28" s="4" t="s">
        <v>100</v>
      </c>
      <c r="D28" s="7" t="n">
        <v>1</v>
      </c>
      <c r="E28" s="4" t="s">
        <v>101</v>
      </c>
      <c r="F28" s="9" t="s">
        <v>102</v>
      </c>
    </row>
    <row r="29" customFormat="false" ht="15" hidden="false" customHeight="false" outlineLevel="0" collapsed="false">
      <c r="A29" s="4" t="s">
        <v>78</v>
      </c>
      <c r="B29" s="9" t="s">
        <v>103</v>
      </c>
      <c r="C29" s="4" t="s">
        <v>104</v>
      </c>
      <c r="D29" s="7" t="n">
        <v>1</v>
      </c>
      <c r="E29" s="4" t="s">
        <v>7</v>
      </c>
      <c r="F29" s="9" t="s">
        <v>105</v>
      </c>
    </row>
    <row r="30" customFormat="false" ht="15" hidden="false" customHeight="false" outlineLevel="0" collapsed="false">
      <c r="A30" s="4" t="s">
        <v>78</v>
      </c>
      <c r="B30" s="9" t="s">
        <v>106</v>
      </c>
      <c r="C30" s="4" t="s">
        <v>107</v>
      </c>
      <c r="D30" s="7" t="n">
        <v>1</v>
      </c>
      <c r="E30" s="4" t="s">
        <v>7</v>
      </c>
      <c r="F30" s="9" t="s">
        <v>105</v>
      </c>
    </row>
    <row r="31" customFormat="false" ht="15" hidden="false" customHeight="false" outlineLevel="0" collapsed="false">
      <c r="A31" s="4" t="s">
        <v>78</v>
      </c>
      <c r="B31" s="9" t="s">
        <v>108</v>
      </c>
      <c r="C31" s="4" t="s">
        <v>109</v>
      </c>
      <c r="D31" s="7" t="n">
        <v>1</v>
      </c>
      <c r="E31" s="4" t="s">
        <v>7</v>
      </c>
      <c r="F31" s="9" t="s">
        <v>105</v>
      </c>
    </row>
    <row r="32" customFormat="false" ht="26.85" hidden="false" customHeight="false" outlineLevel="0" collapsed="false">
      <c r="A32" s="4" t="s">
        <v>78</v>
      </c>
      <c r="B32" s="9" t="s">
        <v>110</v>
      </c>
      <c r="C32" s="4" t="s">
        <v>111</v>
      </c>
      <c r="D32" s="7" t="n">
        <v>2</v>
      </c>
      <c r="E32" s="4" t="s">
        <v>7</v>
      </c>
      <c r="F32" s="9" t="s">
        <v>112</v>
      </c>
    </row>
    <row r="33" customFormat="false" ht="26.85" hidden="false" customHeight="false" outlineLevel="0" collapsed="false">
      <c r="A33" s="4" t="s">
        <v>78</v>
      </c>
      <c r="B33" s="9" t="s">
        <v>113</v>
      </c>
      <c r="C33" s="4" t="s">
        <v>114</v>
      </c>
      <c r="D33" s="7" t="n">
        <v>2</v>
      </c>
      <c r="E33" s="4" t="s">
        <v>7</v>
      </c>
      <c r="F33" s="9" t="s">
        <v>112</v>
      </c>
    </row>
    <row r="34" customFormat="false" ht="26.85" hidden="false" customHeight="false" outlineLevel="0" collapsed="false">
      <c r="A34" s="4" t="s">
        <v>78</v>
      </c>
      <c r="B34" s="9" t="s">
        <v>115</v>
      </c>
      <c r="C34" s="4" t="s">
        <v>116</v>
      </c>
      <c r="D34" s="7" t="n">
        <v>2</v>
      </c>
      <c r="E34" s="4" t="s">
        <v>7</v>
      </c>
      <c r="F34" s="9" t="s">
        <v>112</v>
      </c>
    </row>
    <row r="35" customFormat="false" ht="26.85" hidden="false" customHeight="false" outlineLevel="0" collapsed="false">
      <c r="A35" s="4" t="s">
        <v>78</v>
      </c>
      <c r="B35" s="9" t="s">
        <v>117</v>
      </c>
      <c r="C35" s="4" t="s">
        <v>118</v>
      </c>
      <c r="D35" s="7" t="n">
        <v>1</v>
      </c>
      <c r="E35" s="4" t="s">
        <v>7</v>
      </c>
      <c r="F35" s="9" t="s">
        <v>119</v>
      </c>
    </row>
    <row r="36" customFormat="false" ht="26.85" hidden="false" customHeight="false" outlineLevel="0" collapsed="false">
      <c r="A36" s="4" t="s">
        <v>78</v>
      </c>
      <c r="B36" s="9" t="s">
        <v>120</v>
      </c>
      <c r="C36" s="4" t="s">
        <v>121</v>
      </c>
      <c r="D36" s="7" t="n">
        <v>1</v>
      </c>
      <c r="E36" s="4" t="s">
        <v>7</v>
      </c>
      <c r="F36" s="9" t="s">
        <v>119</v>
      </c>
    </row>
    <row r="37" customFormat="false" ht="26.85" hidden="false" customHeight="false" outlineLevel="0" collapsed="false">
      <c r="A37" s="4" t="s">
        <v>94</v>
      </c>
      <c r="B37" s="9" t="s">
        <v>122</v>
      </c>
      <c r="C37" s="4"/>
      <c r="D37" s="7" t="n">
        <v>1</v>
      </c>
      <c r="E37" s="4" t="s">
        <v>7</v>
      </c>
      <c r="F37" s="9" t="s">
        <v>119</v>
      </c>
    </row>
    <row r="38" customFormat="false" ht="26.85" hidden="false" customHeight="false" outlineLevel="0" collapsed="false">
      <c r="A38" s="4" t="s">
        <v>123</v>
      </c>
      <c r="B38" s="9" t="s">
        <v>124</v>
      </c>
      <c r="C38" s="4"/>
      <c r="D38" s="7" t="n">
        <v>1</v>
      </c>
      <c r="E38" s="4" t="s">
        <v>7</v>
      </c>
      <c r="F38" s="9" t="s">
        <v>125</v>
      </c>
    </row>
    <row r="39" customFormat="false" ht="26.85" hidden="false" customHeight="false" outlineLevel="0" collapsed="false">
      <c r="A39" s="4" t="s">
        <v>126</v>
      </c>
      <c r="B39" s="9" t="s">
        <v>127</v>
      </c>
      <c r="C39" s="4"/>
      <c r="D39" s="10" t="n">
        <v>1.81</v>
      </c>
      <c r="E39" s="4" t="s">
        <v>70</v>
      </c>
      <c r="F39" s="9" t="s">
        <v>128</v>
      </c>
    </row>
    <row r="40" customFormat="false" ht="15" hidden="false" customHeight="false" outlineLevel="0" collapsed="false">
      <c r="A40" s="4" t="s">
        <v>126</v>
      </c>
      <c r="B40" s="9" t="s">
        <v>129</v>
      </c>
      <c r="C40" s="4"/>
      <c r="D40" s="7" t="n">
        <v>1</v>
      </c>
      <c r="E40" s="4" t="s">
        <v>7</v>
      </c>
      <c r="F40" s="9" t="s">
        <v>128</v>
      </c>
    </row>
    <row r="41" customFormat="false" ht="26.85" hidden="false" customHeight="false" outlineLevel="0" collapsed="false">
      <c r="A41" s="4" t="s">
        <v>126</v>
      </c>
      <c r="B41" s="9" t="s">
        <v>130</v>
      </c>
      <c r="C41" s="4"/>
      <c r="D41" s="10" t="n">
        <v>1.29</v>
      </c>
      <c r="E41" s="4" t="s">
        <v>70</v>
      </c>
      <c r="F41" s="9" t="s">
        <v>128</v>
      </c>
    </row>
    <row r="42" customFormat="false" ht="15" hidden="false" customHeight="false" outlineLevel="0" collapsed="false">
      <c r="A42" s="4" t="s">
        <v>126</v>
      </c>
      <c r="B42" s="9" t="s">
        <v>131</v>
      </c>
      <c r="C42" s="4"/>
      <c r="D42" s="7" t="n">
        <v>1</v>
      </c>
      <c r="E42" s="4" t="s">
        <v>7</v>
      </c>
      <c r="F42" s="9" t="s">
        <v>128</v>
      </c>
    </row>
    <row r="43" customFormat="false" ht="26.85" hidden="false" customHeight="false" outlineLevel="0" collapsed="false">
      <c r="A43" s="4" t="s">
        <v>126</v>
      </c>
      <c r="B43" s="9" t="s">
        <v>132</v>
      </c>
      <c r="C43" s="4"/>
      <c r="D43" s="10" t="n">
        <v>1.64</v>
      </c>
      <c r="E43" s="4" t="s">
        <v>70</v>
      </c>
      <c r="F43" s="9" t="s">
        <v>128</v>
      </c>
    </row>
    <row r="44" customFormat="false" ht="15" hidden="false" customHeight="false" outlineLevel="0" collapsed="false">
      <c r="A44" s="4" t="s">
        <v>126</v>
      </c>
      <c r="B44" s="9" t="s">
        <v>133</v>
      </c>
      <c r="C44" s="4"/>
      <c r="D44" s="7" t="n">
        <v>1</v>
      </c>
      <c r="E44" s="4" t="s">
        <v>7</v>
      </c>
      <c r="F44" s="9" t="s">
        <v>128</v>
      </c>
    </row>
    <row r="45" customFormat="false" ht="15" hidden="false" customHeight="false" outlineLevel="0" collapsed="false">
      <c r="A45" s="4" t="s">
        <v>126</v>
      </c>
      <c r="B45" s="9" t="s">
        <v>134</v>
      </c>
      <c r="C45" s="4"/>
      <c r="D45" s="7" t="n">
        <v>1</v>
      </c>
      <c r="E45" s="4" t="s">
        <v>7</v>
      </c>
      <c r="F45" s="9" t="s">
        <v>128</v>
      </c>
    </row>
    <row r="46" customFormat="false" ht="15" hidden="false" customHeight="false" outlineLevel="0" collapsed="false">
      <c r="A46" s="4" t="s">
        <v>126</v>
      </c>
      <c r="B46" s="9" t="s">
        <v>135</v>
      </c>
      <c r="C46" s="4"/>
      <c r="D46" s="7" t="n">
        <v>2</v>
      </c>
      <c r="E46" s="4" t="s">
        <v>7</v>
      </c>
      <c r="F46" s="9" t="s">
        <v>128</v>
      </c>
    </row>
    <row r="47" customFormat="false" ht="15" hidden="false" customHeight="false" outlineLevel="0" collapsed="false">
      <c r="A47" s="4" t="s">
        <v>126</v>
      </c>
      <c r="B47" s="9" t="s">
        <v>136</v>
      </c>
      <c r="C47" s="4"/>
      <c r="D47" s="10" t="n">
        <v>9.2</v>
      </c>
      <c r="E47" s="4" t="s">
        <v>70</v>
      </c>
      <c r="F47" s="9" t="s">
        <v>128</v>
      </c>
    </row>
    <row r="48" customFormat="false" ht="15" hidden="false" customHeight="false" outlineLevel="0" collapsed="false">
      <c r="A48" s="4" t="s">
        <v>126</v>
      </c>
      <c r="B48" s="9" t="s">
        <v>137</v>
      </c>
      <c r="C48" s="4"/>
      <c r="D48" s="10" t="n">
        <v>7.4</v>
      </c>
      <c r="E48" s="4" t="s">
        <v>70</v>
      </c>
      <c r="F48" s="9" t="s">
        <v>128</v>
      </c>
    </row>
    <row r="49" customFormat="false" ht="26.85" hidden="false" customHeight="false" outlineLevel="0" collapsed="false">
      <c r="A49" s="4" t="s">
        <v>126</v>
      </c>
      <c r="B49" s="9" t="s">
        <v>138</v>
      </c>
      <c r="C49" s="4"/>
      <c r="D49" s="7" t="n">
        <v>8</v>
      </c>
      <c r="E49" s="4" t="s">
        <v>7</v>
      </c>
      <c r="F49" s="9" t="s">
        <v>128</v>
      </c>
    </row>
  </sheetData>
  <autoFilter ref="A4:F4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34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26.85" hidden="false" customHeight="false" outlineLevel="0" collapsed="false">
      <c r="A4" s="3" t="s">
        <v>141</v>
      </c>
      <c r="B4" s="3" t="s">
        <v>142</v>
      </c>
      <c r="C4" s="3" t="s">
        <v>143</v>
      </c>
      <c r="D4" s="3" t="s">
        <v>29</v>
      </c>
      <c r="E4" s="3" t="s">
        <v>144</v>
      </c>
      <c r="F4" s="3" t="s">
        <v>145</v>
      </c>
      <c r="G4" s="3" t="s">
        <v>146</v>
      </c>
      <c r="H4" s="3" t="s">
        <v>147</v>
      </c>
      <c r="I4" s="3" t="s">
        <v>148</v>
      </c>
      <c r="J4" s="3" t="s">
        <v>149</v>
      </c>
      <c r="K4" s="3" t="s">
        <v>150</v>
      </c>
    </row>
    <row r="5" customFormat="false" ht="15" hidden="false" customHeight="false" outlineLevel="0" collapsed="false">
      <c r="A5" s="4" t="n">
        <v>1</v>
      </c>
      <c r="B5" s="4" t="s">
        <v>87</v>
      </c>
      <c r="C5" s="4" t="s">
        <v>151</v>
      </c>
      <c r="D5" s="5" t="n">
        <v>1</v>
      </c>
      <c r="E5" s="11" t="n">
        <v>776</v>
      </c>
      <c r="F5" s="11" t="n">
        <v>400</v>
      </c>
      <c r="G5" s="5" t="n">
        <v>18</v>
      </c>
      <c r="H5" s="4" t="s">
        <v>152</v>
      </c>
      <c r="I5" s="12" t="n">
        <f aca="false">D5*E5*F5/1000000</f>
        <v>0.3104</v>
      </c>
      <c r="J5" s="4"/>
      <c r="K5" s="4" t="s">
        <v>153</v>
      </c>
    </row>
    <row r="6" customFormat="false" ht="15" hidden="false" customHeight="false" outlineLevel="0" collapsed="false">
      <c r="A6" s="4" t="n">
        <v>2</v>
      </c>
      <c r="B6" s="4" t="s">
        <v>87</v>
      </c>
      <c r="C6" s="4" t="s">
        <v>154</v>
      </c>
      <c r="D6" s="5" t="n">
        <v>1</v>
      </c>
      <c r="E6" s="11" t="n">
        <v>574</v>
      </c>
      <c r="F6" s="11" t="n">
        <v>364</v>
      </c>
      <c r="G6" s="5" t="n">
        <v>18</v>
      </c>
      <c r="H6" s="4" t="s">
        <v>152</v>
      </c>
      <c r="I6" s="12" t="n">
        <f aca="false">D6*E6*F6/1000000</f>
        <v>0.208936</v>
      </c>
      <c r="J6" s="4"/>
      <c r="K6" s="4" t="s">
        <v>155</v>
      </c>
    </row>
    <row r="7" customFormat="false" ht="15" hidden="false" customHeight="false" outlineLevel="0" collapsed="false">
      <c r="A7" s="4" t="n">
        <v>3</v>
      </c>
      <c r="B7" s="4" t="s">
        <v>87</v>
      </c>
      <c r="C7" s="4" t="s">
        <v>156</v>
      </c>
      <c r="D7" s="5" t="n">
        <v>1</v>
      </c>
      <c r="E7" s="11" t="n">
        <v>397</v>
      </c>
      <c r="F7" s="11" t="n">
        <v>307.4</v>
      </c>
      <c r="G7" s="5" t="n">
        <v>18</v>
      </c>
      <c r="H7" s="4" t="s">
        <v>152</v>
      </c>
      <c r="I7" s="12" t="n">
        <f aca="false">D7*E7*F7/1000000</f>
        <v>0.1220378</v>
      </c>
      <c r="J7" s="4"/>
      <c r="K7" s="4" t="s">
        <v>157</v>
      </c>
    </row>
    <row r="8" customFormat="false" ht="15" hidden="false" customHeight="false" outlineLevel="0" collapsed="false">
      <c r="A8" s="4" t="n">
        <v>4</v>
      </c>
      <c r="B8" s="4" t="s">
        <v>87</v>
      </c>
      <c r="C8" s="4" t="s">
        <v>158</v>
      </c>
      <c r="D8" s="5" t="n">
        <v>1</v>
      </c>
      <c r="E8" s="11" t="n">
        <v>397</v>
      </c>
      <c r="F8" s="11" t="n">
        <v>268.6</v>
      </c>
      <c r="G8" s="5" t="n">
        <v>18</v>
      </c>
      <c r="H8" s="4" t="s">
        <v>152</v>
      </c>
      <c r="I8" s="12" t="n">
        <f aca="false">D8*E8*F8/1000000</f>
        <v>0.1066342</v>
      </c>
      <c r="J8" s="4"/>
      <c r="K8" s="4" t="s">
        <v>157</v>
      </c>
    </row>
    <row r="9" customFormat="false" ht="15" hidden="false" customHeight="false" outlineLevel="0" collapsed="false">
      <c r="A9" s="4" t="n">
        <v>5</v>
      </c>
      <c r="B9" s="4" t="s">
        <v>87</v>
      </c>
      <c r="C9" s="4" t="s">
        <v>159</v>
      </c>
      <c r="D9" s="5" t="n">
        <v>1</v>
      </c>
      <c r="E9" s="11" t="n">
        <v>397</v>
      </c>
      <c r="F9" s="11" t="n">
        <v>191</v>
      </c>
      <c r="G9" s="5" t="n">
        <v>18</v>
      </c>
      <c r="H9" s="4" t="s">
        <v>152</v>
      </c>
      <c r="I9" s="12" t="n">
        <f aca="false">D9*E9*F9/1000000</f>
        <v>0.075827</v>
      </c>
      <c r="J9" s="4"/>
      <c r="K9" s="4" t="s">
        <v>157</v>
      </c>
    </row>
    <row r="10" customFormat="false" ht="15" hidden="false" customHeight="false" outlineLevel="0" collapsed="false">
      <c r="A10" s="4" t="n">
        <v>6</v>
      </c>
      <c r="B10" s="4" t="s">
        <v>87</v>
      </c>
      <c r="C10" s="4" t="s">
        <v>160</v>
      </c>
      <c r="D10" s="5" t="n">
        <v>1</v>
      </c>
      <c r="E10" s="11" t="n">
        <v>303</v>
      </c>
      <c r="F10" s="11" t="n">
        <v>73</v>
      </c>
      <c r="G10" s="5" t="n">
        <v>18</v>
      </c>
      <c r="H10" s="4" t="s">
        <v>152</v>
      </c>
      <c r="I10" s="12" t="n">
        <f aca="false">D10*E10*F10/1000000</f>
        <v>0.022119</v>
      </c>
      <c r="J10" s="4"/>
      <c r="K10" s="4" t="s">
        <v>157</v>
      </c>
    </row>
    <row r="11" customFormat="false" ht="15" hidden="false" customHeight="false" outlineLevel="0" collapsed="false">
      <c r="A11" s="4" t="n">
        <v>7</v>
      </c>
      <c r="B11" s="4" t="s">
        <v>87</v>
      </c>
      <c r="C11" s="4" t="s">
        <v>161</v>
      </c>
      <c r="D11" s="5" t="n">
        <v>1</v>
      </c>
      <c r="E11" s="11" t="n">
        <v>397</v>
      </c>
      <c r="F11" s="11" t="n">
        <v>87</v>
      </c>
      <c r="G11" s="5" t="n">
        <v>18</v>
      </c>
      <c r="H11" s="4" t="s">
        <v>152</v>
      </c>
      <c r="I11" s="12" t="n">
        <f aca="false">D11*E11*F11/1000000</f>
        <v>0.034539</v>
      </c>
      <c r="J11" s="4"/>
      <c r="K11" s="4" t="s">
        <v>157</v>
      </c>
    </row>
    <row r="12" customFormat="false" ht="15" hidden="false" customHeight="false" outlineLevel="0" collapsed="false">
      <c r="A12" s="4" t="n">
        <v>8</v>
      </c>
      <c r="B12" s="4" t="s">
        <v>87</v>
      </c>
      <c r="C12" s="4" t="s">
        <v>162</v>
      </c>
      <c r="D12" s="5" t="n">
        <v>1</v>
      </c>
      <c r="E12" s="11" t="n">
        <v>303</v>
      </c>
      <c r="F12" s="11" t="n">
        <v>73</v>
      </c>
      <c r="G12" s="5" t="n">
        <v>18</v>
      </c>
      <c r="H12" s="4" t="s">
        <v>152</v>
      </c>
      <c r="I12" s="12" t="n">
        <f aca="false">D12*E12*F12/1000000</f>
        <v>0.022119</v>
      </c>
      <c r="J12" s="4"/>
      <c r="K12" s="4" t="s">
        <v>163</v>
      </c>
    </row>
    <row r="13" customFormat="false" ht="15" hidden="false" customHeight="false" outlineLevel="0" collapsed="false">
      <c r="A13" s="4" t="n">
        <v>9</v>
      </c>
      <c r="B13" s="4" t="s">
        <v>87</v>
      </c>
      <c r="C13" s="4" t="s">
        <v>164</v>
      </c>
      <c r="D13" s="5" t="n">
        <v>1</v>
      </c>
      <c r="E13" s="11" t="n">
        <v>400</v>
      </c>
      <c r="F13" s="11" t="n">
        <v>73</v>
      </c>
      <c r="G13" s="5" t="n">
        <v>18</v>
      </c>
      <c r="H13" s="4" t="s">
        <v>152</v>
      </c>
      <c r="I13" s="12" t="n">
        <f aca="false">D13*E13*F13/1000000</f>
        <v>0.0292</v>
      </c>
      <c r="J13" s="4"/>
      <c r="K13" s="4" t="s">
        <v>153</v>
      </c>
    </row>
    <row r="14" customFormat="false" ht="15" hidden="false" customHeight="false" outlineLevel="0" collapsed="false">
      <c r="A14" s="4" t="n">
        <v>10</v>
      </c>
      <c r="B14" s="4" t="s">
        <v>87</v>
      </c>
      <c r="C14" s="4" t="s">
        <v>165</v>
      </c>
      <c r="D14" s="5" t="n">
        <v>1</v>
      </c>
      <c r="E14" s="11" t="n">
        <v>400</v>
      </c>
      <c r="F14" s="11" t="n">
        <v>73</v>
      </c>
      <c r="G14" s="5" t="n">
        <v>18</v>
      </c>
      <c r="H14" s="4" t="s">
        <v>152</v>
      </c>
      <c r="I14" s="12" t="n">
        <f aca="false">D14*E14*F14/1000000</f>
        <v>0.0292</v>
      </c>
      <c r="J14" s="4"/>
      <c r="K14" s="4" t="s">
        <v>166</v>
      </c>
    </row>
    <row r="15" customFormat="false" ht="15" hidden="false" customHeight="false" outlineLevel="0" collapsed="false">
      <c r="A15" s="4" t="n">
        <v>11</v>
      </c>
      <c r="B15" s="4" t="s">
        <v>87</v>
      </c>
      <c r="C15" s="4" t="s">
        <v>167</v>
      </c>
      <c r="D15" s="5" t="n">
        <v>1</v>
      </c>
      <c r="E15" s="11" t="n">
        <v>400</v>
      </c>
      <c r="F15" s="11" t="n">
        <v>100</v>
      </c>
      <c r="G15" s="5" t="n">
        <v>18</v>
      </c>
      <c r="H15" s="4" t="s">
        <v>152</v>
      </c>
      <c r="I15" s="12" t="n">
        <f aca="false">D15*E15*F15/1000000</f>
        <v>0.04</v>
      </c>
      <c r="J15" s="4"/>
      <c r="K15" s="4" t="s">
        <v>157</v>
      </c>
    </row>
    <row r="16" customFormat="false" ht="15" hidden="false" customHeight="false" outlineLevel="0" collapsed="false">
      <c r="A16" s="4" t="n">
        <v>12</v>
      </c>
      <c r="B16" s="4" t="s">
        <v>87</v>
      </c>
      <c r="C16" s="4" t="s">
        <v>168</v>
      </c>
      <c r="D16" s="5" t="n">
        <v>1</v>
      </c>
      <c r="E16" s="11" t="n">
        <v>454</v>
      </c>
      <c r="F16" s="11" t="n">
        <v>100</v>
      </c>
      <c r="G16" s="5" t="n">
        <v>18</v>
      </c>
      <c r="H16" s="4" t="s">
        <v>152</v>
      </c>
      <c r="I16" s="12" t="n">
        <f aca="false">D16*E16*F16/1000000</f>
        <v>0.0454</v>
      </c>
      <c r="J16" s="4"/>
      <c r="K16" s="4" t="s">
        <v>163</v>
      </c>
    </row>
    <row r="17" customFormat="false" ht="15" hidden="false" customHeight="false" outlineLevel="0" collapsed="false">
      <c r="A17" s="4" t="n">
        <v>13</v>
      </c>
      <c r="B17" s="4" t="s">
        <v>87</v>
      </c>
      <c r="C17" s="4" t="s">
        <v>169</v>
      </c>
      <c r="D17" s="5" t="n">
        <v>1</v>
      </c>
      <c r="E17" s="11" t="n">
        <v>454</v>
      </c>
      <c r="F17" s="11" t="n">
        <v>100</v>
      </c>
      <c r="G17" s="5" t="n">
        <v>18</v>
      </c>
      <c r="H17" s="4" t="s">
        <v>152</v>
      </c>
      <c r="I17" s="12" t="n">
        <f aca="false">D17*E17*F17/1000000</f>
        <v>0.0454</v>
      </c>
      <c r="J17" s="4"/>
      <c r="K17" s="4" t="s">
        <v>155</v>
      </c>
    </row>
    <row r="18" customFormat="false" ht="15" hidden="false" customHeight="false" outlineLevel="0" collapsed="false">
      <c r="A18" s="4" t="n">
        <v>14</v>
      </c>
      <c r="B18" s="4" t="s">
        <v>87</v>
      </c>
      <c r="C18" s="4" t="s">
        <v>170</v>
      </c>
      <c r="D18" s="5" t="n">
        <v>1</v>
      </c>
      <c r="E18" s="11" t="n">
        <v>776</v>
      </c>
      <c r="F18" s="11" t="n">
        <v>574</v>
      </c>
      <c r="G18" s="5" t="n">
        <v>18</v>
      </c>
      <c r="H18" s="4" t="s">
        <v>152</v>
      </c>
      <c r="I18" s="12" t="n">
        <f aca="false">D18*E18*F18/1000000</f>
        <v>0.445424</v>
      </c>
      <c r="J18" s="4"/>
      <c r="K18" s="4" t="s">
        <v>171</v>
      </c>
    </row>
    <row r="19" customFormat="false" ht="15" hidden="false" customHeight="false" outlineLevel="0" collapsed="false">
      <c r="A19" s="4" t="n">
        <v>15</v>
      </c>
      <c r="B19" s="4" t="s">
        <v>87</v>
      </c>
      <c r="C19" s="4" t="s">
        <v>172</v>
      </c>
      <c r="D19" s="5" t="n">
        <v>1</v>
      </c>
      <c r="E19" s="11" t="n">
        <v>776</v>
      </c>
      <c r="F19" s="11" t="n">
        <v>574</v>
      </c>
      <c r="G19" s="5" t="n">
        <v>18</v>
      </c>
      <c r="H19" s="4" t="s">
        <v>152</v>
      </c>
      <c r="I19" s="12" t="n">
        <f aca="false">D19*E19*F19/1000000</f>
        <v>0.445424</v>
      </c>
      <c r="J19" s="4"/>
      <c r="K19" s="4" t="s">
        <v>171</v>
      </c>
    </row>
    <row r="20" customFormat="false" ht="15" hidden="false" customHeight="false" outlineLevel="0" collapsed="false">
      <c r="A20" s="4" t="n">
        <v>16</v>
      </c>
      <c r="B20" s="4" t="s">
        <v>87</v>
      </c>
      <c r="C20" s="4" t="s">
        <v>173</v>
      </c>
      <c r="D20" s="5" t="n">
        <v>1</v>
      </c>
      <c r="E20" s="11" t="n">
        <v>364</v>
      </c>
      <c r="F20" s="11" t="n">
        <v>100</v>
      </c>
      <c r="G20" s="5" t="n">
        <v>18</v>
      </c>
      <c r="H20" s="4" t="s">
        <v>152</v>
      </c>
      <c r="I20" s="12" t="n">
        <f aca="false">D20*E20*F20/1000000</f>
        <v>0.0364</v>
      </c>
      <c r="J20" s="4"/>
      <c r="K20" s="4" t="s">
        <v>157</v>
      </c>
    </row>
    <row r="21" customFormat="false" ht="15" hidden="false" customHeight="false" outlineLevel="0" collapsed="false">
      <c r="A21" s="4" t="n">
        <v>17</v>
      </c>
      <c r="B21" s="4" t="s">
        <v>87</v>
      </c>
      <c r="C21" s="4" t="s">
        <v>174</v>
      </c>
      <c r="D21" s="5" t="n">
        <v>1</v>
      </c>
      <c r="E21" s="11" t="n">
        <v>364</v>
      </c>
      <c r="F21" s="11" t="n">
        <v>100</v>
      </c>
      <c r="G21" s="5" t="n">
        <v>18</v>
      </c>
      <c r="H21" s="4" t="s">
        <v>152</v>
      </c>
      <c r="I21" s="12" t="n">
        <f aca="false">D21*E21*F21/1000000</f>
        <v>0.0364</v>
      </c>
      <c r="J21" s="4"/>
      <c r="K21" s="4" t="s">
        <v>157</v>
      </c>
    </row>
    <row r="22" customFormat="false" ht="15" hidden="false" customHeight="false" outlineLevel="0" collapsed="false">
      <c r="A22" s="4" t="n">
        <v>18</v>
      </c>
      <c r="B22" s="4" t="s">
        <v>83</v>
      </c>
      <c r="C22" s="4" t="s">
        <v>154</v>
      </c>
      <c r="D22" s="5" t="n">
        <v>1</v>
      </c>
      <c r="E22" s="11" t="n">
        <v>864</v>
      </c>
      <c r="F22" s="11" t="n">
        <v>592</v>
      </c>
      <c r="G22" s="5" t="n">
        <v>18</v>
      </c>
      <c r="H22" s="4" t="s">
        <v>152</v>
      </c>
      <c r="I22" s="12" t="n">
        <f aca="false">D22*E22*F22/1000000</f>
        <v>0.511488</v>
      </c>
      <c r="J22" s="4"/>
      <c r="K22" s="4" t="s">
        <v>175</v>
      </c>
    </row>
    <row r="23" customFormat="false" ht="15" hidden="false" customHeight="false" outlineLevel="0" collapsed="false">
      <c r="A23" s="4" t="n">
        <v>19</v>
      </c>
      <c r="B23" s="4" t="s">
        <v>83</v>
      </c>
      <c r="C23" s="4" t="s">
        <v>176</v>
      </c>
      <c r="D23" s="5" t="n">
        <v>1</v>
      </c>
      <c r="E23" s="11" t="n">
        <v>773</v>
      </c>
      <c r="F23" s="11" t="n">
        <v>447</v>
      </c>
      <c r="G23" s="5" t="n">
        <v>18</v>
      </c>
      <c r="H23" s="4" t="s">
        <v>152</v>
      </c>
      <c r="I23" s="12" t="n">
        <f aca="false">D23*E23*F23/1000000</f>
        <v>0.345531</v>
      </c>
      <c r="J23" s="4"/>
      <c r="K23" s="4" t="s">
        <v>163</v>
      </c>
    </row>
    <row r="24" customFormat="false" ht="15" hidden="false" customHeight="false" outlineLevel="0" collapsed="false">
      <c r="A24" s="4" t="n">
        <v>20</v>
      </c>
      <c r="B24" s="4" t="s">
        <v>83</v>
      </c>
      <c r="C24" s="4" t="s">
        <v>177</v>
      </c>
      <c r="D24" s="5" t="n">
        <v>1</v>
      </c>
      <c r="E24" s="11" t="n">
        <v>773</v>
      </c>
      <c r="F24" s="11" t="n">
        <v>447</v>
      </c>
      <c r="G24" s="5" t="n">
        <v>18</v>
      </c>
      <c r="H24" s="4" t="s">
        <v>152</v>
      </c>
      <c r="I24" s="12" t="n">
        <f aca="false">D24*E24*F24/1000000</f>
        <v>0.345531</v>
      </c>
      <c r="J24" s="4"/>
      <c r="K24" s="4" t="s">
        <v>163</v>
      </c>
    </row>
    <row r="25" customFormat="false" ht="15" hidden="false" customHeight="false" outlineLevel="0" collapsed="false">
      <c r="A25" s="4" t="n">
        <v>21</v>
      </c>
      <c r="B25" s="4" t="s">
        <v>83</v>
      </c>
      <c r="C25" s="4" t="s">
        <v>160</v>
      </c>
      <c r="D25" s="5" t="n">
        <v>1</v>
      </c>
      <c r="E25" s="11" t="n">
        <v>803</v>
      </c>
      <c r="F25" s="11" t="n">
        <v>73</v>
      </c>
      <c r="G25" s="5" t="n">
        <v>18</v>
      </c>
      <c r="H25" s="4" t="s">
        <v>152</v>
      </c>
      <c r="I25" s="12" t="n">
        <f aca="false">D25*E25*F25/1000000</f>
        <v>0.058619</v>
      </c>
      <c r="J25" s="4"/>
      <c r="K25" s="4" t="s">
        <v>178</v>
      </c>
    </row>
    <row r="26" customFormat="false" ht="15" hidden="false" customHeight="false" outlineLevel="0" collapsed="false">
      <c r="A26" s="4" t="n">
        <v>22</v>
      </c>
      <c r="B26" s="4" t="s">
        <v>83</v>
      </c>
      <c r="C26" s="4" t="s">
        <v>161</v>
      </c>
      <c r="D26" s="5" t="n">
        <v>1</v>
      </c>
      <c r="E26" s="11" t="n">
        <v>897</v>
      </c>
      <c r="F26" s="11" t="n">
        <v>87</v>
      </c>
      <c r="G26" s="5" t="n">
        <v>18</v>
      </c>
      <c r="H26" s="4" t="s">
        <v>152</v>
      </c>
      <c r="I26" s="12" t="n">
        <f aca="false">D26*E26*F26/1000000</f>
        <v>0.078039</v>
      </c>
      <c r="J26" s="4"/>
      <c r="K26" s="4" t="s">
        <v>179</v>
      </c>
    </row>
    <row r="27" customFormat="false" ht="15" hidden="false" customHeight="false" outlineLevel="0" collapsed="false">
      <c r="A27" s="4" t="n">
        <v>23</v>
      </c>
      <c r="B27" s="4" t="s">
        <v>83</v>
      </c>
      <c r="C27" s="4" t="s">
        <v>162</v>
      </c>
      <c r="D27" s="5" t="n">
        <v>1</v>
      </c>
      <c r="E27" s="11" t="n">
        <v>803</v>
      </c>
      <c r="F27" s="11" t="n">
        <v>73</v>
      </c>
      <c r="G27" s="5" t="n">
        <v>18</v>
      </c>
      <c r="H27" s="4" t="s">
        <v>152</v>
      </c>
      <c r="I27" s="12" t="n">
        <f aca="false">D27*E27*F27/1000000</f>
        <v>0.058619</v>
      </c>
      <c r="J27" s="4"/>
      <c r="K27" s="4" t="s">
        <v>178</v>
      </c>
    </row>
    <row r="28" customFormat="false" ht="15" hidden="false" customHeight="false" outlineLevel="0" collapsed="false">
      <c r="A28" s="4" t="n">
        <v>24</v>
      </c>
      <c r="B28" s="4" t="s">
        <v>83</v>
      </c>
      <c r="C28" s="4" t="s">
        <v>164</v>
      </c>
      <c r="D28" s="5" t="n">
        <v>1</v>
      </c>
      <c r="E28" s="11" t="n">
        <v>400</v>
      </c>
      <c r="F28" s="11" t="n">
        <v>73</v>
      </c>
      <c r="G28" s="5" t="n">
        <v>18</v>
      </c>
      <c r="H28" s="4" t="s">
        <v>152</v>
      </c>
      <c r="I28" s="12" t="n">
        <f aca="false">D28*E28*F28/1000000</f>
        <v>0.0292</v>
      </c>
      <c r="J28" s="4"/>
      <c r="K28" s="4" t="s">
        <v>155</v>
      </c>
    </row>
    <row r="29" customFormat="false" ht="15" hidden="false" customHeight="false" outlineLevel="0" collapsed="false">
      <c r="A29" s="4" t="n">
        <v>25</v>
      </c>
      <c r="B29" s="4" t="s">
        <v>83</v>
      </c>
      <c r="C29" s="4" t="s">
        <v>165</v>
      </c>
      <c r="D29" s="5" t="n">
        <v>1</v>
      </c>
      <c r="E29" s="11" t="n">
        <v>400</v>
      </c>
      <c r="F29" s="11" t="n">
        <v>73</v>
      </c>
      <c r="G29" s="5" t="n">
        <v>18</v>
      </c>
      <c r="H29" s="4" t="s">
        <v>152</v>
      </c>
      <c r="I29" s="12" t="n">
        <f aca="false">D29*E29*F29/1000000</f>
        <v>0.0292</v>
      </c>
      <c r="J29" s="4"/>
      <c r="K29" s="4" t="s">
        <v>175</v>
      </c>
    </row>
    <row r="30" customFormat="false" ht="15" hidden="false" customHeight="false" outlineLevel="0" collapsed="false">
      <c r="A30" s="4" t="n">
        <v>26</v>
      </c>
      <c r="B30" s="4" t="s">
        <v>83</v>
      </c>
      <c r="C30" s="4" t="s">
        <v>167</v>
      </c>
      <c r="D30" s="5" t="n">
        <v>1</v>
      </c>
      <c r="E30" s="11" t="n">
        <v>900</v>
      </c>
      <c r="F30" s="11" t="n">
        <v>100</v>
      </c>
      <c r="G30" s="5" t="n">
        <v>18</v>
      </c>
      <c r="H30" s="4" t="s">
        <v>152</v>
      </c>
      <c r="I30" s="12" t="n">
        <f aca="false">D30*E30*F30/1000000</f>
        <v>0.09</v>
      </c>
      <c r="J30" s="4"/>
      <c r="K30" s="4" t="s">
        <v>180</v>
      </c>
    </row>
    <row r="31" customFormat="false" ht="15" hidden="false" customHeight="false" outlineLevel="0" collapsed="false">
      <c r="A31" s="4" t="n">
        <v>27</v>
      </c>
      <c r="B31" s="4" t="s">
        <v>83</v>
      </c>
      <c r="C31" s="4" t="s">
        <v>168</v>
      </c>
      <c r="D31" s="5" t="n">
        <v>1</v>
      </c>
      <c r="E31" s="11" t="n">
        <v>454</v>
      </c>
      <c r="F31" s="11" t="n">
        <v>100</v>
      </c>
      <c r="G31" s="5" t="n">
        <v>18</v>
      </c>
      <c r="H31" s="4" t="s">
        <v>152</v>
      </c>
      <c r="I31" s="12" t="n">
        <f aca="false">D31*E31*F31/1000000</f>
        <v>0.0454</v>
      </c>
      <c r="J31" s="4"/>
      <c r="K31" s="4" t="s">
        <v>179</v>
      </c>
    </row>
    <row r="32" customFormat="false" ht="15" hidden="false" customHeight="false" outlineLevel="0" collapsed="false">
      <c r="A32" s="4" t="n">
        <v>28</v>
      </c>
      <c r="B32" s="4" t="s">
        <v>83</v>
      </c>
      <c r="C32" s="4" t="s">
        <v>169</v>
      </c>
      <c r="D32" s="5" t="n">
        <v>1</v>
      </c>
      <c r="E32" s="11" t="n">
        <v>454</v>
      </c>
      <c r="F32" s="11" t="n">
        <v>100</v>
      </c>
      <c r="G32" s="5" t="n">
        <v>18</v>
      </c>
      <c r="H32" s="4" t="s">
        <v>152</v>
      </c>
      <c r="I32" s="12" t="n">
        <f aca="false">D32*E32*F32/1000000</f>
        <v>0.0454</v>
      </c>
      <c r="J32" s="4"/>
      <c r="K32" s="4" t="s">
        <v>181</v>
      </c>
    </row>
    <row r="33" customFormat="false" ht="15" hidden="false" customHeight="false" outlineLevel="0" collapsed="false">
      <c r="A33" s="4" t="n">
        <v>29</v>
      </c>
      <c r="B33" s="4" t="s">
        <v>83</v>
      </c>
      <c r="C33" s="4" t="s">
        <v>170</v>
      </c>
      <c r="D33" s="5" t="n">
        <v>1</v>
      </c>
      <c r="E33" s="11" t="n">
        <v>776</v>
      </c>
      <c r="F33" s="11" t="n">
        <v>592</v>
      </c>
      <c r="G33" s="5" t="n">
        <v>18</v>
      </c>
      <c r="H33" s="4" t="s">
        <v>152</v>
      </c>
      <c r="I33" s="12" t="n">
        <f aca="false">D33*E33*F33/1000000</f>
        <v>0.459392</v>
      </c>
      <c r="J33" s="4"/>
      <c r="K33" s="4" t="s">
        <v>175</v>
      </c>
    </row>
    <row r="34" customFormat="false" ht="15" hidden="false" customHeight="false" outlineLevel="0" collapsed="false">
      <c r="A34" s="4" t="n">
        <v>30</v>
      </c>
      <c r="B34" s="4" t="s">
        <v>83</v>
      </c>
      <c r="C34" s="4" t="s">
        <v>172</v>
      </c>
      <c r="D34" s="5" t="n">
        <v>1</v>
      </c>
      <c r="E34" s="11" t="n">
        <v>776</v>
      </c>
      <c r="F34" s="11" t="n">
        <v>592</v>
      </c>
      <c r="G34" s="5" t="n">
        <v>18</v>
      </c>
      <c r="H34" s="4" t="s">
        <v>152</v>
      </c>
      <c r="I34" s="12" t="n">
        <f aca="false">D34*E34*F34/1000000</f>
        <v>0.459392</v>
      </c>
      <c r="J34" s="4"/>
      <c r="K34" s="4" t="s">
        <v>175</v>
      </c>
    </row>
    <row r="35" customFormat="false" ht="15" hidden="false" customHeight="false" outlineLevel="0" collapsed="false">
      <c r="A35" s="4" t="n">
        <v>31</v>
      </c>
      <c r="B35" s="4" t="s">
        <v>83</v>
      </c>
      <c r="C35" s="4" t="s">
        <v>173</v>
      </c>
      <c r="D35" s="5" t="n">
        <v>1</v>
      </c>
      <c r="E35" s="11" t="n">
        <v>864</v>
      </c>
      <c r="F35" s="11" t="n">
        <v>100</v>
      </c>
      <c r="G35" s="5" t="n">
        <v>18</v>
      </c>
      <c r="H35" s="4" t="s">
        <v>152</v>
      </c>
      <c r="I35" s="12" t="n">
        <f aca="false">D35*E35*F35/1000000</f>
        <v>0.0864</v>
      </c>
      <c r="J35" s="4"/>
      <c r="K35" s="4" t="s">
        <v>182</v>
      </c>
    </row>
    <row r="36" customFormat="false" ht="15" hidden="false" customHeight="false" outlineLevel="0" collapsed="false">
      <c r="A36" s="4" t="n">
        <v>32</v>
      </c>
      <c r="B36" s="4" t="s">
        <v>83</v>
      </c>
      <c r="C36" s="4" t="s">
        <v>174</v>
      </c>
      <c r="D36" s="5" t="n">
        <v>1</v>
      </c>
      <c r="E36" s="11" t="n">
        <v>864</v>
      </c>
      <c r="F36" s="11" t="n">
        <v>100</v>
      </c>
      <c r="G36" s="5" t="n">
        <v>18</v>
      </c>
      <c r="H36" s="4" t="s">
        <v>152</v>
      </c>
      <c r="I36" s="12" t="n">
        <f aca="false">D36*E36*F36/1000000</f>
        <v>0.0864</v>
      </c>
      <c r="J36" s="4"/>
      <c r="K36" s="4" t="s">
        <v>178</v>
      </c>
    </row>
    <row r="37" customFormat="false" ht="15" hidden="false" customHeight="false" outlineLevel="0" collapsed="false">
      <c r="A37" s="4" t="n">
        <v>33</v>
      </c>
      <c r="B37" s="4" t="s">
        <v>125</v>
      </c>
      <c r="C37" s="4" t="s">
        <v>183</v>
      </c>
      <c r="D37" s="5" t="n">
        <v>1</v>
      </c>
      <c r="E37" s="11" t="n">
        <v>1650</v>
      </c>
      <c r="F37" s="11" t="n">
        <v>876</v>
      </c>
      <c r="G37" s="5" t="n">
        <v>18</v>
      </c>
      <c r="H37" s="4" t="s">
        <v>152</v>
      </c>
      <c r="I37" s="12" t="n">
        <f aca="false">D37*E37*F37/1000000</f>
        <v>1.4454</v>
      </c>
      <c r="J37" s="4"/>
      <c r="K37" s="4" t="s">
        <v>181</v>
      </c>
    </row>
    <row r="38" customFormat="false" ht="15" hidden="false" customHeight="false" outlineLevel="0" collapsed="false">
      <c r="A38" s="4" t="n">
        <v>34</v>
      </c>
      <c r="B38" s="4" t="s">
        <v>125</v>
      </c>
      <c r="C38" s="4" t="s">
        <v>184</v>
      </c>
      <c r="D38" s="5" t="n">
        <v>1</v>
      </c>
      <c r="E38" s="11" t="n">
        <v>876</v>
      </c>
      <c r="F38" s="11" t="n">
        <v>628</v>
      </c>
      <c r="G38" s="5" t="n">
        <v>18</v>
      </c>
      <c r="H38" s="4" t="s">
        <v>152</v>
      </c>
      <c r="I38" s="12" t="n">
        <f aca="false">D38*E38*F38/1000000</f>
        <v>0.550128</v>
      </c>
      <c r="J38" s="4"/>
      <c r="K38" s="4" t="s">
        <v>178</v>
      </c>
    </row>
    <row r="39" customFormat="false" ht="15" hidden="false" customHeight="false" outlineLevel="0" collapsed="false">
      <c r="A39" s="4" t="n">
        <v>35</v>
      </c>
      <c r="B39" s="4" t="s">
        <v>125</v>
      </c>
      <c r="C39" s="4" t="s">
        <v>185</v>
      </c>
      <c r="D39" s="5" t="n">
        <v>1</v>
      </c>
      <c r="E39" s="11" t="n">
        <v>876</v>
      </c>
      <c r="F39" s="11" t="n">
        <v>628</v>
      </c>
      <c r="G39" s="5" t="n">
        <v>18</v>
      </c>
      <c r="H39" s="4" t="s">
        <v>152</v>
      </c>
      <c r="I39" s="12" t="n">
        <f aca="false">D39*E39*F39/1000000</f>
        <v>0.550128</v>
      </c>
      <c r="J39" s="4"/>
      <c r="K39" s="4" t="s">
        <v>178</v>
      </c>
    </row>
    <row r="40" customFormat="false" ht="15" hidden="false" customHeight="false" outlineLevel="0" collapsed="false">
      <c r="A40" s="4" t="n">
        <v>36</v>
      </c>
      <c r="B40" s="4" t="s">
        <v>186</v>
      </c>
      <c r="C40" s="4" t="s">
        <v>151</v>
      </c>
      <c r="D40" s="5" t="n">
        <v>1</v>
      </c>
      <c r="E40" s="11" t="n">
        <v>776</v>
      </c>
      <c r="F40" s="11" t="n">
        <v>450</v>
      </c>
      <c r="G40" s="5" t="n">
        <v>18</v>
      </c>
      <c r="H40" s="4" t="s">
        <v>152</v>
      </c>
      <c r="I40" s="12" t="n">
        <f aca="false">D40*E40*F40/1000000</f>
        <v>0.3492</v>
      </c>
      <c r="J40" s="4"/>
      <c r="K40" s="4" t="s">
        <v>171</v>
      </c>
    </row>
    <row r="41" customFormat="false" ht="15" hidden="false" customHeight="false" outlineLevel="0" collapsed="false">
      <c r="A41" s="4" t="n">
        <v>37</v>
      </c>
      <c r="B41" s="4" t="s">
        <v>186</v>
      </c>
      <c r="C41" s="4" t="s">
        <v>154</v>
      </c>
      <c r="D41" s="5" t="n">
        <v>1</v>
      </c>
      <c r="E41" s="11" t="n">
        <v>574</v>
      </c>
      <c r="F41" s="11" t="n">
        <v>414</v>
      </c>
      <c r="G41" s="5" t="n">
        <v>18</v>
      </c>
      <c r="H41" s="4" t="s">
        <v>152</v>
      </c>
      <c r="I41" s="12" t="n">
        <f aca="false">D41*E41*F41/1000000</f>
        <v>0.237636</v>
      </c>
      <c r="J41" s="4"/>
      <c r="K41" s="4" t="s">
        <v>155</v>
      </c>
    </row>
    <row r="42" customFormat="false" ht="15" hidden="false" customHeight="false" outlineLevel="0" collapsed="false">
      <c r="A42" s="4" t="n">
        <v>38</v>
      </c>
      <c r="B42" s="4" t="s">
        <v>186</v>
      </c>
      <c r="C42" s="4" t="s">
        <v>156</v>
      </c>
      <c r="D42" s="5" t="n">
        <v>1</v>
      </c>
      <c r="E42" s="11" t="n">
        <v>447</v>
      </c>
      <c r="F42" s="11" t="n">
        <v>307.4</v>
      </c>
      <c r="G42" s="5" t="n">
        <v>18</v>
      </c>
      <c r="H42" s="4" t="s">
        <v>152</v>
      </c>
      <c r="I42" s="12" t="n">
        <f aca="false">D42*E42*F42/1000000</f>
        <v>0.1374078</v>
      </c>
      <c r="J42" s="4"/>
      <c r="K42" s="4" t="s">
        <v>157</v>
      </c>
    </row>
    <row r="43" customFormat="false" ht="15" hidden="false" customHeight="false" outlineLevel="0" collapsed="false">
      <c r="A43" s="4" t="n">
        <v>39</v>
      </c>
      <c r="B43" s="4" t="s">
        <v>186</v>
      </c>
      <c r="C43" s="4" t="s">
        <v>158</v>
      </c>
      <c r="D43" s="5" t="n">
        <v>1</v>
      </c>
      <c r="E43" s="11" t="n">
        <v>447</v>
      </c>
      <c r="F43" s="11" t="n">
        <v>268.6</v>
      </c>
      <c r="G43" s="5" t="n">
        <v>18</v>
      </c>
      <c r="H43" s="4" t="s">
        <v>152</v>
      </c>
      <c r="I43" s="12" t="n">
        <f aca="false">D43*E43*F43/1000000</f>
        <v>0.1200642</v>
      </c>
      <c r="J43" s="4"/>
      <c r="K43" s="4" t="s">
        <v>157</v>
      </c>
    </row>
    <row r="44" customFormat="false" ht="15" hidden="false" customHeight="false" outlineLevel="0" collapsed="false">
      <c r="A44" s="4" t="n">
        <v>40</v>
      </c>
      <c r="B44" s="4" t="s">
        <v>186</v>
      </c>
      <c r="C44" s="4" t="s">
        <v>159</v>
      </c>
      <c r="D44" s="5" t="n">
        <v>1</v>
      </c>
      <c r="E44" s="11" t="n">
        <v>447</v>
      </c>
      <c r="F44" s="11" t="n">
        <v>191</v>
      </c>
      <c r="G44" s="5" t="n">
        <v>18</v>
      </c>
      <c r="H44" s="4" t="s">
        <v>152</v>
      </c>
      <c r="I44" s="12" t="n">
        <f aca="false">D44*E44*F44/1000000</f>
        <v>0.085377</v>
      </c>
      <c r="J44" s="4"/>
      <c r="K44" s="4" t="s">
        <v>157</v>
      </c>
    </row>
    <row r="45" customFormat="false" ht="15" hidden="false" customHeight="false" outlineLevel="0" collapsed="false">
      <c r="A45" s="4" t="n">
        <v>41</v>
      </c>
      <c r="B45" s="4" t="s">
        <v>186</v>
      </c>
      <c r="C45" s="4" t="s">
        <v>160</v>
      </c>
      <c r="D45" s="5" t="n">
        <v>1</v>
      </c>
      <c r="E45" s="11" t="n">
        <v>353</v>
      </c>
      <c r="F45" s="11" t="n">
        <v>73</v>
      </c>
      <c r="G45" s="5" t="n">
        <v>18</v>
      </c>
      <c r="H45" s="4" t="s">
        <v>152</v>
      </c>
      <c r="I45" s="12" t="n">
        <f aca="false">D45*E45*F45/1000000</f>
        <v>0.025769</v>
      </c>
      <c r="J45" s="4"/>
      <c r="K45" s="4" t="s">
        <v>157</v>
      </c>
    </row>
    <row r="46" customFormat="false" ht="15" hidden="false" customHeight="false" outlineLevel="0" collapsed="false">
      <c r="A46" s="4" t="n">
        <v>42</v>
      </c>
      <c r="B46" s="4" t="s">
        <v>186</v>
      </c>
      <c r="C46" s="4" t="s">
        <v>161</v>
      </c>
      <c r="D46" s="5" t="n">
        <v>1</v>
      </c>
      <c r="E46" s="11" t="n">
        <v>447</v>
      </c>
      <c r="F46" s="11" t="n">
        <v>87</v>
      </c>
      <c r="G46" s="5" t="n">
        <v>18</v>
      </c>
      <c r="H46" s="4" t="s">
        <v>152</v>
      </c>
      <c r="I46" s="12" t="n">
        <f aca="false">D46*E46*F46/1000000</f>
        <v>0.038889</v>
      </c>
      <c r="J46" s="4"/>
      <c r="K46" s="4" t="s">
        <v>153</v>
      </c>
    </row>
    <row r="47" customFormat="false" ht="15" hidden="false" customHeight="false" outlineLevel="0" collapsed="false">
      <c r="A47" s="4" t="n">
        <v>43</v>
      </c>
      <c r="B47" s="4" t="s">
        <v>186</v>
      </c>
      <c r="C47" s="4" t="s">
        <v>162</v>
      </c>
      <c r="D47" s="5" t="n">
        <v>1</v>
      </c>
      <c r="E47" s="11" t="n">
        <v>353</v>
      </c>
      <c r="F47" s="11" t="n">
        <v>73</v>
      </c>
      <c r="G47" s="5" t="n">
        <v>18</v>
      </c>
      <c r="H47" s="4" t="s">
        <v>152</v>
      </c>
      <c r="I47" s="12" t="n">
        <f aca="false">D47*E47*F47/1000000</f>
        <v>0.025769</v>
      </c>
      <c r="J47" s="4"/>
      <c r="K47" s="4" t="s">
        <v>157</v>
      </c>
    </row>
    <row r="48" customFormat="false" ht="15" hidden="false" customHeight="false" outlineLevel="0" collapsed="false">
      <c r="A48" s="4" t="n">
        <v>44</v>
      </c>
      <c r="B48" s="4" t="s">
        <v>186</v>
      </c>
      <c r="C48" s="4" t="s">
        <v>164</v>
      </c>
      <c r="D48" s="5" t="n">
        <v>1</v>
      </c>
      <c r="E48" s="11" t="n">
        <v>400</v>
      </c>
      <c r="F48" s="11" t="n">
        <v>73</v>
      </c>
      <c r="G48" s="5" t="n">
        <v>18</v>
      </c>
      <c r="H48" s="4" t="s">
        <v>152</v>
      </c>
      <c r="I48" s="12" t="n">
        <f aca="false">D48*E48*F48/1000000</f>
        <v>0.0292</v>
      </c>
      <c r="J48" s="4"/>
      <c r="K48" s="4" t="s">
        <v>171</v>
      </c>
    </row>
    <row r="49" customFormat="false" ht="15" hidden="false" customHeight="false" outlineLevel="0" collapsed="false">
      <c r="A49" s="4" t="n">
        <v>45</v>
      </c>
      <c r="B49" s="4" t="s">
        <v>186</v>
      </c>
      <c r="C49" s="4" t="s">
        <v>165</v>
      </c>
      <c r="D49" s="5" t="n">
        <v>1</v>
      </c>
      <c r="E49" s="11" t="n">
        <v>400</v>
      </c>
      <c r="F49" s="11" t="n">
        <v>73</v>
      </c>
      <c r="G49" s="5" t="n">
        <v>18</v>
      </c>
      <c r="H49" s="4" t="s">
        <v>152</v>
      </c>
      <c r="I49" s="12" t="n">
        <f aca="false">D49*E49*F49/1000000</f>
        <v>0.0292</v>
      </c>
      <c r="J49" s="4"/>
      <c r="K49" s="4" t="s">
        <v>171</v>
      </c>
    </row>
    <row r="50" customFormat="false" ht="15" hidden="false" customHeight="false" outlineLevel="0" collapsed="false">
      <c r="A50" s="4" t="n">
        <v>46</v>
      </c>
      <c r="B50" s="4" t="s">
        <v>186</v>
      </c>
      <c r="C50" s="4" t="s">
        <v>167</v>
      </c>
      <c r="D50" s="5" t="n">
        <v>1</v>
      </c>
      <c r="E50" s="11" t="n">
        <v>450</v>
      </c>
      <c r="F50" s="11" t="n">
        <v>100</v>
      </c>
      <c r="G50" s="5" t="n">
        <v>18</v>
      </c>
      <c r="H50" s="4" t="s">
        <v>152</v>
      </c>
      <c r="I50" s="12" t="n">
        <f aca="false">D50*E50*F50/1000000</f>
        <v>0.045</v>
      </c>
      <c r="J50" s="4"/>
      <c r="K50" s="4" t="s">
        <v>157</v>
      </c>
    </row>
    <row r="51" customFormat="false" ht="15" hidden="false" customHeight="false" outlineLevel="0" collapsed="false">
      <c r="A51" s="4" t="n">
        <v>47</v>
      </c>
      <c r="B51" s="4" t="s">
        <v>186</v>
      </c>
      <c r="C51" s="4" t="s">
        <v>168</v>
      </c>
      <c r="D51" s="5" t="n">
        <v>1</v>
      </c>
      <c r="E51" s="11" t="n">
        <v>454</v>
      </c>
      <c r="F51" s="11" t="n">
        <v>100</v>
      </c>
      <c r="G51" s="5" t="n">
        <v>18</v>
      </c>
      <c r="H51" s="4" t="s">
        <v>152</v>
      </c>
      <c r="I51" s="12" t="n">
        <f aca="false">D51*E51*F51/1000000</f>
        <v>0.0454</v>
      </c>
      <c r="J51" s="4"/>
      <c r="K51" s="4" t="s">
        <v>181</v>
      </c>
    </row>
    <row r="52" customFormat="false" ht="15" hidden="false" customHeight="false" outlineLevel="0" collapsed="false">
      <c r="A52" s="4" t="n">
        <v>48</v>
      </c>
      <c r="B52" s="4" t="s">
        <v>186</v>
      </c>
      <c r="C52" s="4" t="s">
        <v>169</v>
      </c>
      <c r="D52" s="5" t="n">
        <v>1</v>
      </c>
      <c r="E52" s="11" t="n">
        <v>454</v>
      </c>
      <c r="F52" s="11" t="n">
        <v>100</v>
      </c>
      <c r="G52" s="5" t="n">
        <v>18</v>
      </c>
      <c r="H52" s="4" t="s">
        <v>152</v>
      </c>
      <c r="I52" s="12" t="n">
        <f aca="false">D52*E52*F52/1000000</f>
        <v>0.0454</v>
      </c>
      <c r="J52" s="4"/>
      <c r="K52" s="4" t="s">
        <v>155</v>
      </c>
    </row>
    <row r="53" customFormat="false" ht="15" hidden="false" customHeight="false" outlineLevel="0" collapsed="false">
      <c r="A53" s="4" t="n">
        <v>49</v>
      </c>
      <c r="B53" s="4" t="s">
        <v>186</v>
      </c>
      <c r="C53" s="4" t="s">
        <v>170</v>
      </c>
      <c r="D53" s="5" t="n">
        <v>1</v>
      </c>
      <c r="E53" s="11" t="n">
        <v>776</v>
      </c>
      <c r="F53" s="11" t="n">
        <v>574</v>
      </c>
      <c r="G53" s="5" t="n">
        <v>18</v>
      </c>
      <c r="H53" s="4" t="s">
        <v>152</v>
      </c>
      <c r="I53" s="12" t="n">
        <f aca="false">D53*E53*F53/1000000</f>
        <v>0.445424</v>
      </c>
      <c r="J53" s="4"/>
      <c r="K53" s="4" t="s">
        <v>171</v>
      </c>
    </row>
    <row r="54" customFormat="false" ht="15" hidden="false" customHeight="false" outlineLevel="0" collapsed="false">
      <c r="A54" s="4" t="n">
        <v>50</v>
      </c>
      <c r="B54" s="4" t="s">
        <v>186</v>
      </c>
      <c r="C54" s="4" t="s">
        <v>172</v>
      </c>
      <c r="D54" s="5" t="n">
        <v>1</v>
      </c>
      <c r="E54" s="11" t="n">
        <v>776</v>
      </c>
      <c r="F54" s="11" t="n">
        <v>574</v>
      </c>
      <c r="G54" s="5" t="n">
        <v>18</v>
      </c>
      <c r="H54" s="4" t="s">
        <v>152</v>
      </c>
      <c r="I54" s="12" t="n">
        <f aca="false">D54*E54*F54/1000000</f>
        <v>0.445424</v>
      </c>
      <c r="J54" s="4"/>
      <c r="K54" s="4" t="s">
        <v>171</v>
      </c>
    </row>
    <row r="55" customFormat="false" ht="15" hidden="false" customHeight="false" outlineLevel="0" collapsed="false">
      <c r="A55" s="4" t="n">
        <v>51</v>
      </c>
      <c r="B55" s="4" t="s">
        <v>186</v>
      </c>
      <c r="C55" s="4" t="s">
        <v>173</v>
      </c>
      <c r="D55" s="5" t="n">
        <v>1</v>
      </c>
      <c r="E55" s="11" t="n">
        <v>414</v>
      </c>
      <c r="F55" s="11" t="n">
        <v>100</v>
      </c>
      <c r="G55" s="5" t="n">
        <v>18</v>
      </c>
      <c r="H55" s="4" t="s">
        <v>152</v>
      </c>
      <c r="I55" s="12" t="n">
        <f aca="false">D55*E55*F55/1000000</f>
        <v>0.0414</v>
      </c>
      <c r="J55" s="4"/>
      <c r="K55" s="4" t="s">
        <v>157</v>
      </c>
    </row>
    <row r="56" customFormat="false" ht="15" hidden="false" customHeight="false" outlineLevel="0" collapsed="false">
      <c r="A56" s="4" t="n">
        <v>52</v>
      </c>
      <c r="B56" s="4" t="s">
        <v>186</v>
      </c>
      <c r="C56" s="4" t="s">
        <v>174</v>
      </c>
      <c r="D56" s="5" t="n">
        <v>1</v>
      </c>
      <c r="E56" s="11" t="n">
        <v>414</v>
      </c>
      <c r="F56" s="11" t="n">
        <v>100</v>
      </c>
      <c r="G56" s="5" t="n">
        <v>18</v>
      </c>
      <c r="H56" s="4" t="s">
        <v>152</v>
      </c>
      <c r="I56" s="12" t="n">
        <f aca="false">D56*E56*F56/1000000</f>
        <v>0.0414</v>
      </c>
      <c r="J56" s="4"/>
      <c r="K56" s="4" t="s">
        <v>157</v>
      </c>
    </row>
    <row r="57" customFormat="false" ht="15" hidden="false" customHeight="false" outlineLevel="0" collapsed="false">
      <c r="A57" s="4" t="n">
        <v>53</v>
      </c>
      <c r="B57" s="4" t="s">
        <v>119</v>
      </c>
      <c r="C57" s="4" t="s">
        <v>151</v>
      </c>
      <c r="D57" s="5" t="n">
        <v>1</v>
      </c>
      <c r="E57" s="11" t="n">
        <v>776</v>
      </c>
      <c r="F57" s="11" t="n">
        <v>750</v>
      </c>
      <c r="G57" s="5" t="n">
        <v>18</v>
      </c>
      <c r="H57" s="4" t="s">
        <v>152</v>
      </c>
      <c r="I57" s="12" t="n">
        <f aca="false">D57*E57*F57/1000000</f>
        <v>0.582</v>
      </c>
      <c r="J57" s="4"/>
      <c r="K57" s="4" t="s">
        <v>171</v>
      </c>
    </row>
    <row r="58" customFormat="false" ht="15" hidden="false" customHeight="false" outlineLevel="0" collapsed="false">
      <c r="A58" s="4" t="n">
        <v>54</v>
      </c>
      <c r="B58" s="4" t="s">
        <v>119</v>
      </c>
      <c r="C58" s="4" t="s">
        <v>154</v>
      </c>
      <c r="D58" s="5" t="n">
        <v>1</v>
      </c>
      <c r="E58" s="11" t="n">
        <v>714</v>
      </c>
      <c r="F58" s="11" t="n">
        <v>574</v>
      </c>
      <c r="G58" s="5" t="n">
        <v>18</v>
      </c>
      <c r="H58" s="4" t="s">
        <v>152</v>
      </c>
      <c r="I58" s="12" t="n">
        <f aca="false">D58*E58*F58/1000000</f>
        <v>0.409836</v>
      </c>
      <c r="J58" s="4"/>
      <c r="K58" s="4" t="s">
        <v>163</v>
      </c>
    </row>
    <row r="59" customFormat="false" ht="15" hidden="false" customHeight="false" outlineLevel="0" collapsed="false">
      <c r="A59" s="4" t="n">
        <v>55</v>
      </c>
      <c r="B59" s="4" t="s">
        <v>119</v>
      </c>
      <c r="C59" s="4" t="s">
        <v>156</v>
      </c>
      <c r="D59" s="5" t="n">
        <v>1</v>
      </c>
      <c r="E59" s="11" t="n">
        <v>747</v>
      </c>
      <c r="F59" s="11" t="n">
        <v>325</v>
      </c>
      <c r="G59" s="5" t="n">
        <v>18</v>
      </c>
      <c r="H59" s="4" t="s">
        <v>152</v>
      </c>
      <c r="I59" s="12" t="n">
        <f aca="false">D59*E59*F59/1000000</f>
        <v>0.242775</v>
      </c>
      <c r="J59" s="4"/>
      <c r="K59" s="4" t="s">
        <v>153</v>
      </c>
    </row>
    <row r="60" customFormat="false" ht="15" hidden="false" customHeight="false" outlineLevel="0" collapsed="false">
      <c r="A60" s="4" t="n">
        <v>56</v>
      </c>
      <c r="B60" s="4" t="s">
        <v>119</v>
      </c>
      <c r="C60" s="4" t="s">
        <v>158</v>
      </c>
      <c r="D60" s="5" t="n">
        <v>1</v>
      </c>
      <c r="E60" s="11" t="n">
        <v>747</v>
      </c>
      <c r="F60" s="11" t="n">
        <v>325</v>
      </c>
      <c r="G60" s="5" t="n">
        <v>18</v>
      </c>
      <c r="H60" s="4" t="s">
        <v>152</v>
      </c>
      <c r="I60" s="12" t="n">
        <f aca="false">D60*E60*F60/1000000</f>
        <v>0.242775</v>
      </c>
      <c r="J60" s="4"/>
      <c r="K60" s="4" t="s">
        <v>163</v>
      </c>
    </row>
    <row r="61" customFormat="false" ht="15" hidden="false" customHeight="false" outlineLevel="0" collapsed="false">
      <c r="A61" s="4" t="n">
        <v>57</v>
      </c>
      <c r="B61" s="4" t="s">
        <v>119</v>
      </c>
      <c r="C61" s="4" t="s">
        <v>159</v>
      </c>
      <c r="D61" s="5" t="n">
        <v>1</v>
      </c>
      <c r="E61" s="11" t="n">
        <v>747</v>
      </c>
      <c r="F61" s="11" t="n">
        <v>117</v>
      </c>
      <c r="G61" s="5" t="n">
        <v>18</v>
      </c>
      <c r="H61" s="4" t="s">
        <v>152</v>
      </c>
      <c r="I61" s="12" t="n">
        <f aca="false">D61*E61*F61/1000000</f>
        <v>0.087399</v>
      </c>
      <c r="J61" s="4"/>
      <c r="K61" s="4" t="s">
        <v>179</v>
      </c>
    </row>
    <row r="62" customFormat="false" ht="15" hidden="false" customHeight="false" outlineLevel="0" collapsed="false">
      <c r="A62" s="4" t="n">
        <v>58</v>
      </c>
      <c r="B62" s="4" t="s">
        <v>119</v>
      </c>
      <c r="C62" s="4" t="s">
        <v>160</v>
      </c>
      <c r="D62" s="5" t="n">
        <v>1</v>
      </c>
      <c r="E62" s="11" t="n">
        <v>653</v>
      </c>
      <c r="F62" s="11" t="n">
        <v>73</v>
      </c>
      <c r="G62" s="5" t="n">
        <v>18</v>
      </c>
      <c r="H62" s="4" t="s">
        <v>152</v>
      </c>
      <c r="I62" s="12" t="n">
        <f aca="false">D62*E62*F62/1000000</f>
        <v>0.047669</v>
      </c>
      <c r="J62" s="4"/>
      <c r="K62" s="4" t="s">
        <v>178</v>
      </c>
    </row>
    <row r="63" customFormat="false" ht="15" hidden="false" customHeight="false" outlineLevel="0" collapsed="false">
      <c r="A63" s="4" t="n">
        <v>59</v>
      </c>
      <c r="B63" s="4" t="s">
        <v>119</v>
      </c>
      <c r="C63" s="4" t="s">
        <v>161</v>
      </c>
      <c r="D63" s="5" t="n">
        <v>1</v>
      </c>
      <c r="E63" s="11" t="n">
        <v>747</v>
      </c>
      <c r="F63" s="11" t="n">
        <v>87</v>
      </c>
      <c r="G63" s="5" t="n">
        <v>18</v>
      </c>
      <c r="H63" s="4" t="s">
        <v>152</v>
      </c>
      <c r="I63" s="12" t="n">
        <f aca="false">D63*E63*F63/1000000</f>
        <v>0.064989</v>
      </c>
      <c r="J63" s="4"/>
      <c r="K63" s="4" t="s">
        <v>163</v>
      </c>
    </row>
    <row r="64" customFormat="false" ht="15" hidden="false" customHeight="false" outlineLevel="0" collapsed="false">
      <c r="A64" s="4" t="n">
        <v>60</v>
      </c>
      <c r="B64" s="4" t="s">
        <v>119</v>
      </c>
      <c r="C64" s="4" t="s">
        <v>162</v>
      </c>
      <c r="D64" s="5" t="n">
        <v>1</v>
      </c>
      <c r="E64" s="11" t="n">
        <v>653</v>
      </c>
      <c r="F64" s="11" t="n">
        <v>73</v>
      </c>
      <c r="G64" s="5" t="n">
        <v>18</v>
      </c>
      <c r="H64" s="4" t="s">
        <v>152</v>
      </c>
      <c r="I64" s="12" t="n">
        <f aca="false">D64*E64*F64/1000000</f>
        <v>0.047669</v>
      </c>
      <c r="J64" s="4"/>
      <c r="K64" s="4" t="s">
        <v>175</v>
      </c>
    </row>
    <row r="65" customFormat="false" ht="15" hidden="false" customHeight="false" outlineLevel="0" collapsed="false">
      <c r="A65" s="4" t="n">
        <v>61</v>
      </c>
      <c r="B65" s="4" t="s">
        <v>119</v>
      </c>
      <c r="C65" s="4" t="s">
        <v>164</v>
      </c>
      <c r="D65" s="5" t="n">
        <v>1</v>
      </c>
      <c r="E65" s="11" t="n">
        <v>400</v>
      </c>
      <c r="F65" s="11" t="n">
        <v>73</v>
      </c>
      <c r="G65" s="5" t="n">
        <v>18</v>
      </c>
      <c r="H65" s="4" t="s">
        <v>152</v>
      </c>
      <c r="I65" s="12" t="n">
        <f aca="false">D65*E65*F65/1000000</f>
        <v>0.0292</v>
      </c>
      <c r="J65" s="4"/>
      <c r="K65" s="4" t="s">
        <v>155</v>
      </c>
    </row>
    <row r="66" customFormat="false" ht="15" hidden="false" customHeight="false" outlineLevel="0" collapsed="false">
      <c r="A66" s="4" t="n">
        <v>62</v>
      </c>
      <c r="B66" s="4" t="s">
        <v>119</v>
      </c>
      <c r="C66" s="4" t="s">
        <v>165</v>
      </c>
      <c r="D66" s="5" t="n">
        <v>1</v>
      </c>
      <c r="E66" s="11" t="n">
        <v>400</v>
      </c>
      <c r="F66" s="11" t="n">
        <v>73</v>
      </c>
      <c r="G66" s="5" t="n">
        <v>18</v>
      </c>
      <c r="H66" s="4" t="s">
        <v>152</v>
      </c>
      <c r="I66" s="12" t="n">
        <f aca="false">D66*E66*F66/1000000</f>
        <v>0.0292</v>
      </c>
      <c r="J66" s="4"/>
      <c r="K66" s="4" t="s">
        <v>163</v>
      </c>
    </row>
    <row r="67" customFormat="false" ht="15" hidden="false" customHeight="false" outlineLevel="0" collapsed="false">
      <c r="A67" s="4" t="n">
        <v>63</v>
      </c>
      <c r="B67" s="4" t="s">
        <v>119</v>
      </c>
      <c r="C67" s="4" t="s">
        <v>167</v>
      </c>
      <c r="D67" s="5" t="n">
        <v>1</v>
      </c>
      <c r="E67" s="11" t="n">
        <v>750</v>
      </c>
      <c r="F67" s="11" t="n">
        <v>100</v>
      </c>
      <c r="G67" s="5" t="n">
        <v>18</v>
      </c>
      <c r="H67" s="4" t="s">
        <v>152</v>
      </c>
      <c r="I67" s="12" t="n">
        <f aca="false">D67*E67*F67/1000000</f>
        <v>0.075</v>
      </c>
      <c r="J67" s="4"/>
      <c r="K67" s="4" t="s">
        <v>166</v>
      </c>
    </row>
    <row r="68" customFormat="false" ht="15" hidden="false" customHeight="false" outlineLevel="0" collapsed="false">
      <c r="A68" s="4" t="n">
        <v>64</v>
      </c>
      <c r="B68" s="4" t="s">
        <v>119</v>
      </c>
      <c r="C68" s="4" t="s">
        <v>168</v>
      </c>
      <c r="D68" s="5" t="n">
        <v>1</v>
      </c>
      <c r="E68" s="11" t="n">
        <v>454</v>
      </c>
      <c r="F68" s="11" t="n">
        <v>100</v>
      </c>
      <c r="G68" s="5" t="n">
        <v>18</v>
      </c>
      <c r="H68" s="4" t="s">
        <v>152</v>
      </c>
      <c r="I68" s="12" t="n">
        <f aca="false">D68*E68*F68/1000000</f>
        <v>0.0454</v>
      </c>
      <c r="J68" s="4"/>
      <c r="K68" s="4" t="s">
        <v>155</v>
      </c>
    </row>
    <row r="69" customFormat="false" ht="15" hidden="false" customHeight="false" outlineLevel="0" collapsed="false">
      <c r="A69" s="4" t="n">
        <v>65</v>
      </c>
      <c r="B69" s="4" t="s">
        <v>119</v>
      </c>
      <c r="C69" s="4" t="s">
        <v>169</v>
      </c>
      <c r="D69" s="5" t="n">
        <v>1</v>
      </c>
      <c r="E69" s="11" t="n">
        <v>454</v>
      </c>
      <c r="F69" s="11" t="n">
        <v>100</v>
      </c>
      <c r="G69" s="5" t="n">
        <v>18</v>
      </c>
      <c r="H69" s="4" t="s">
        <v>152</v>
      </c>
      <c r="I69" s="12" t="n">
        <f aca="false">D69*E69*F69/1000000</f>
        <v>0.0454</v>
      </c>
      <c r="J69" s="4"/>
      <c r="K69" s="4" t="s">
        <v>166</v>
      </c>
    </row>
    <row r="70" customFormat="false" ht="15" hidden="false" customHeight="false" outlineLevel="0" collapsed="false">
      <c r="A70" s="4" t="n">
        <v>66</v>
      </c>
      <c r="B70" s="4" t="s">
        <v>119</v>
      </c>
      <c r="C70" s="4" t="s">
        <v>170</v>
      </c>
      <c r="D70" s="5" t="n">
        <v>1</v>
      </c>
      <c r="E70" s="11" t="n">
        <v>776</v>
      </c>
      <c r="F70" s="11" t="n">
        <v>574</v>
      </c>
      <c r="G70" s="5" t="n">
        <v>18</v>
      </c>
      <c r="H70" s="4" t="s">
        <v>152</v>
      </c>
      <c r="I70" s="12" t="n">
        <f aca="false">D70*E70*F70/1000000</f>
        <v>0.445424</v>
      </c>
      <c r="J70" s="4"/>
      <c r="K70" s="4" t="s">
        <v>153</v>
      </c>
    </row>
    <row r="71" customFormat="false" ht="15" hidden="false" customHeight="false" outlineLevel="0" collapsed="false">
      <c r="A71" s="4" t="n">
        <v>67</v>
      </c>
      <c r="B71" s="4" t="s">
        <v>119</v>
      </c>
      <c r="C71" s="4" t="s">
        <v>172</v>
      </c>
      <c r="D71" s="5" t="n">
        <v>1</v>
      </c>
      <c r="E71" s="11" t="n">
        <v>776</v>
      </c>
      <c r="F71" s="11" t="n">
        <v>574</v>
      </c>
      <c r="G71" s="5" t="n">
        <v>18</v>
      </c>
      <c r="H71" s="4" t="s">
        <v>152</v>
      </c>
      <c r="I71" s="12" t="n">
        <f aca="false">D71*E71*F71/1000000</f>
        <v>0.445424</v>
      </c>
      <c r="J71" s="4"/>
      <c r="K71" s="4" t="s">
        <v>153</v>
      </c>
    </row>
    <row r="72" customFormat="false" ht="15" hidden="false" customHeight="false" outlineLevel="0" collapsed="false">
      <c r="A72" s="4" t="n">
        <v>68</v>
      </c>
      <c r="B72" s="4" t="s">
        <v>119</v>
      </c>
      <c r="C72" s="4" t="s">
        <v>173</v>
      </c>
      <c r="D72" s="5" t="n">
        <v>1</v>
      </c>
      <c r="E72" s="11" t="n">
        <v>714</v>
      </c>
      <c r="F72" s="11" t="n">
        <v>100</v>
      </c>
      <c r="G72" s="5" t="n">
        <v>18</v>
      </c>
      <c r="H72" s="4" t="s">
        <v>152</v>
      </c>
      <c r="I72" s="12" t="n">
        <f aca="false">D72*E72*F72/1000000</f>
        <v>0.0714</v>
      </c>
      <c r="J72" s="4"/>
      <c r="K72" s="4" t="s">
        <v>163</v>
      </c>
    </row>
    <row r="73" customFormat="false" ht="15" hidden="false" customHeight="false" outlineLevel="0" collapsed="false">
      <c r="A73" s="4" t="n">
        <v>69</v>
      </c>
      <c r="B73" s="4" t="s">
        <v>119</v>
      </c>
      <c r="C73" s="4" t="s">
        <v>174</v>
      </c>
      <c r="D73" s="5" t="n">
        <v>1</v>
      </c>
      <c r="E73" s="11" t="n">
        <v>714</v>
      </c>
      <c r="F73" s="11" t="n">
        <v>100</v>
      </c>
      <c r="G73" s="5" t="n">
        <v>18</v>
      </c>
      <c r="H73" s="4" t="s">
        <v>152</v>
      </c>
      <c r="I73" s="12" t="n">
        <f aca="false">D73*E73*F73/1000000</f>
        <v>0.0714</v>
      </c>
      <c r="J73" s="4"/>
      <c r="K73" s="4" t="s">
        <v>163</v>
      </c>
    </row>
    <row r="74" customFormat="false" ht="15" hidden="false" customHeight="false" outlineLevel="0" collapsed="false">
      <c r="A74" s="4" t="n">
        <v>70</v>
      </c>
      <c r="B74" s="4" t="s">
        <v>187</v>
      </c>
      <c r="C74" s="4" t="s">
        <v>151</v>
      </c>
      <c r="D74" s="5" t="n">
        <v>1</v>
      </c>
      <c r="E74" s="11" t="n">
        <v>776</v>
      </c>
      <c r="F74" s="11" t="n">
        <v>450</v>
      </c>
      <c r="G74" s="5" t="n">
        <v>18</v>
      </c>
      <c r="H74" s="4" t="s">
        <v>152</v>
      </c>
      <c r="I74" s="12" t="n">
        <f aca="false">D74*E74*F74/1000000</f>
        <v>0.3492</v>
      </c>
      <c r="J74" s="4"/>
      <c r="K74" s="4" t="s">
        <v>153</v>
      </c>
    </row>
    <row r="75" customFormat="false" ht="15" hidden="false" customHeight="false" outlineLevel="0" collapsed="false">
      <c r="A75" s="4" t="n">
        <v>71</v>
      </c>
      <c r="B75" s="4" t="s">
        <v>187</v>
      </c>
      <c r="C75" s="4" t="s">
        <v>154</v>
      </c>
      <c r="D75" s="5" t="n">
        <v>1</v>
      </c>
      <c r="E75" s="11" t="n">
        <v>574</v>
      </c>
      <c r="F75" s="11" t="n">
        <v>414</v>
      </c>
      <c r="G75" s="5" t="n">
        <v>18</v>
      </c>
      <c r="H75" s="4" t="s">
        <v>152</v>
      </c>
      <c r="I75" s="12" t="n">
        <f aca="false">D75*E75*F75/1000000</f>
        <v>0.237636</v>
      </c>
      <c r="J75" s="4"/>
      <c r="K75" s="4" t="s">
        <v>155</v>
      </c>
    </row>
    <row r="76" customFormat="false" ht="15" hidden="false" customHeight="false" outlineLevel="0" collapsed="false">
      <c r="A76" s="4" t="n">
        <v>72</v>
      </c>
      <c r="B76" s="4" t="s">
        <v>187</v>
      </c>
      <c r="C76" s="4" t="s">
        <v>156</v>
      </c>
      <c r="D76" s="5" t="n">
        <v>1</v>
      </c>
      <c r="E76" s="11" t="n">
        <v>447</v>
      </c>
      <c r="F76" s="11" t="n">
        <v>307.4</v>
      </c>
      <c r="G76" s="5" t="n">
        <v>18</v>
      </c>
      <c r="H76" s="4" t="s">
        <v>152</v>
      </c>
      <c r="I76" s="12" t="n">
        <f aca="false">D76*E76*F76/1000000</f>
        <v>0.1374078</v>
      </c>
      <c r="J76" s="4"/>
      <c r="K76" s="4" t="s">
        <v>157</v>
      </c>
    </row>
    <row r="77" customFormat="false" ht="15" hidden="false" customHeight="false" outlineLevel="0" collapsed="false">
      <c r="A77" s="4" t="n">
        <v>73</v>
      </c>
      <c r="B77" s="4" t="s">
        <v>187</v>
      </c>
      <c r="C77" s="4" t="s">
        <v>158</v>
      </c>
      <c r="D77" s="5" t="n">
        <v>1</v>
      </c>
      <c r="E77" s="11" t="n">
        <v>447</v>
      </c>
      <c r="F77" s="11" t="n">
        <v>268.6</v>
      </c>
      <c r="G77" s="5" t="n">
        <v>18</v>
      </c>
      <c r="H77" s="4" t="s">
        <v>152</v>
      </c>
      <c r="I77" s="12" t="n">
        <f aca="false">D77*E77*F77/1000000</f>
        <v>0.1200642</v>
      </c>
      <c r="J77" s="4"/>
      <c r="K77" s="4" t="s">
        <v>157</v>
      </c>
    </row>
    <row r="78" customFormat="false" ht="15" hidden="false" customHeight="false" outlineLevel="0" collapsed="false">
      <c r="A78" s="4" t="n">
        <v>74</v>
      </c>
      <c r="B78" s="4" t="s">
        <v>187</v>
      </c>
      <c r="C78" s="4" t="s">
        <v>159</v>
      </c>
      <c r="D78" s="5" t="n">
        <v>1</v>
      </c>
      <c r="E78" s="11" t="n">
        <v>447</v>
      </c>
      <c r="F78" s="11" t="n">
        <v>191</v>
      </c>
      <c r="G78" s="5" t="n">
        <v>18</v>
      </c>
      <c r="H78" s="4" t="s">
        <v>152</v>
      </c>
      <c r="I78" s="12" t="n">
        <f aca="false">D78*E78*F78/1000000</f>
        <v>0.085377</v>
      </c>
      <c r="J78" s="4"/>
      <c r="K78" s="4" t="s">
        <v>157</v>
      </c>
    </row>
    <row r="79" customFormat="false" ht="15" hidden="false" customHeight="false" outlineLevel="0" collapsed="false">
      <c r="A79" s="4" t="n">
        <v>75</v>
      </c>
      <c r="B79" s="4" t="s">
        <v>187</v>
      </c>
      <c r="C79" s="4" t="s">
        <v>160</v>
      </c>
      <c r="D79" s="5" t="n">
        <v>1</v>
      </c>
      <c r="E79" s="11" t="n">
        <v>353</v>
      </c>
      <c r="F79" s="11" t="n">
        <v>73</v>
      </c>
      <c r="G79" s="5" t="n">
        <v>18</v>
      </c>
      <c r="H79" s="4" t="s">
        <v>152</v>
      </c>
      <c r="I79" s="12" t="n">
        <f aca="false">D79*E79*F79/1000000</f>
        <v>0.025769</v>
      </c>
      <c r="J79" s="4"/>
      <c r="K79" s="4" t="s">
        <v>157</v>
      </c>
    </row>
    <row r="80" customFormat="false" ht="15" hidden="false" customHeight="false" outlineLevel="0" collapsed="false">
      <c r="A80" s="4" t="n">
        <v>76</v>
      </c>
      <c r="B80" s="4" t="s">
        <v>187</v>
      </c>
      <c r="C80" s="4" t="s">
        <v>161</v>
      </c>
      <c r="D80" s="5" t="n">
        <v>1</v>
      </c>
      <c r="E80" s="11" t="n">
        <v>447</v>
      </c>
      <c r="F80" s="11" t="n">
        <v>87</v>
      </c>
      <c r="G80" s="5" t="n">
        <v>18</v>
      </c>
      <c r="H80" s="4" t="s">
        <v>152</v>
      </c>
      <c r="I80" s="12" t="n">
        <f aca="false">D80*E80*F80/1000000</f>
        <v>0.038889</v>
      </c>
      <c r="J80" s="4"/>
      <c r="K80" s="4" t="s">
        <v>179</v>
      </c>
    </row>
    <row r="81" customFormat="false" ht="15" hidden="false" customHeight="false" outlineLevel="0" collapsed="false">
      <c r="A81" s="4" t="n">
        <v>77</v>
      </c>
      <c r="B81" s="4" t="s">
        <v>187</v>
      </c>
      <c r="C81" s="4" t="s">
        <v>162</v>
      </c>
      <c r="D81" s="5" t="n">
        <v>1</v>
      </c>
      <c r="E81" s="11" t="n">
        <v>353</v>
      </c>
      <c r="F81" s="11" t="n">
        <v>73</v>
      </c>
      <c r="G81" s="5" t="n">
        <v>18</v>
      </c>
      <c r="H81" s="4" t="s">
        <v>152</v>
      </c>
      <c r="I81" s="12" t="n">
        <f aca="false">D81*E81*F81/1000000</f>
        <v>0.025769</v>
      </c>
      <c r="J81" s="4"/>
      <c r="K81" s="4" t="s">
        <v>157</v>
      </c>
    </row>
    <row r="82" customFormat="false" ht="15" hidden="false" customHeight="false" outlineLevel="0" collapsed="false">
      <c r="A82" s="4" t="n">
        <v>78</v>
      </c>
      <c r="B82" s="4" t="s">
        <v>187</v>
      </c>
      <c r="C82" s="4" t="s">
        <v>164</v>
      </c>
      <c r="D82" s="5" t="n">
        <v>1</v>
      </c>
      <c r="E82" s="11" t="n">
        <v>400</v>
      </c>
      <c r="F82" s="11" t="n">
        <v>73</v>
      </c>
      <c r="G82" s="5" t="n">
        <v>18</v>
      </c>
      <c r="H82" s="4" t="s">
        <v>152</v>
      </c>
      <c r="I82" s="12" t="n">
        <f aca="false">D82*E82*F82/1000000</f>
        <v>0.0292</v>
      </c>
      <c r="J82" s="4"/>
      <c r="K82" s="4" t="s">
        <v>157</v>
      </c>
    </row>
    <row r="83" customFormat="false" ht="15" hidden="false" customHeight="false" outlineLevel="0" collapsed="false">
      <c r="A83" s="4" t="n">
        <v>79</v>
      </c>
      <c r="B83" s="4" t="s">
        <v>187</v>
      </c>
      <c r="C83" s="4" t="s">
        <v>165</v>
      </c>
      <c r="D83" s="5" t="n">
        <v>1</v>
      </c>
      <c r="E83" s="11" t="n">
        <v>400</v>
      </c>
      <c r="F83" s="11" t="n">
        <v>73</v>
      </c>
      <c r="G83" s="5" t="n">
        <v>18</v>
      </c>
      <c r="H83" s="4" t="s">
        <v>152</v>
      </c>
      <c r="I83" s="12" t="n">
        <f aca="false">D83*E83*F83/1000000</f>
        <v>0.0292</v>
      </c>
      <c r="J83" s="4"/>
      <c r="K83" s="4" t="s">
        <v>157</v>
      </c>
    </row>
    <row r="84" customFormat="false" ht="15" hidden="false" customHeight="false" outlineLevel="0" collapsed="false">
      <c r="A84" s="4" t="n">
        <v>80</v>
      </c>
      <c r="B84" s="4" t="s">
        <v>187</v>
      </c>
      <c r="C84" s="4" t="s">
        <v>167</v>
      </c>
      <c r="D84" s="5" t="n">
        <v>1</v>
      </c>
      <c r="E84" s="11" t="n">
        <v>450</v>
      </c>
      <c r="F84" s="11" t="n">
        <v>100</v>
      </c>
      <c r="G84" s="5" t="n">
        <v>18</v>
      </c>
      <c r="H84" s="4" t="s">
        <v>152</v>
      </c>
      <c r="I84" s="12" t="n">
        <f aca="false">D84*E84*F84/1000000</f>
        <v>0.045</v>
      </c>
      <c r="J84" s="4"/>
      <c r="K84" s="4" t="s">
        <v>157</v>
      </c>
    </row>
    <row r="85" customFormat="false" ht="15" hidden="false" customHeight="false" outlineLevel="0" collapsed="false">
      <c r="A85" s="4" t="n">
        <v>81</v>
      </c>
      <c r="B85" s="4" t="s">
        <v>187</v>
      </c>
      <c r="C85" s="4" t="s">
        <v>168</v>
      </c>
      <c r="D85" s="5" t="n">
        <v>1</v>
      </c>
      <c r="E85" s="11" t="n">
        <v>454</v>
      </c>
      <c r="F85" s="11" t="n">
        <v>100</v>
      </c>
      <c r="G85" s="5" t="n">
        <v>18</v>
      </c>
      <c r="H85" s="4" t="s">
        <v>152</v>
      </c>
      <c r="I85" s="12" t="n">
        <f aca="false">D85*E85*F85/1000000</f>
        <v>0.0454</v>
      </c>
      <c r="J85" s="4"/>
      <c r="K85" s="4" t="s">
        <v>166</v>
      </c>
    </row>
    <row r="86" customFormat="false" ht="15" hidden="false" customHeight="false" outlineLevel="0" collapsed="false">
      <c r="A86" s="4" t="n">
        <v>82</v>
      </c>
      <c r="B86" s="4" t="s">
        <v>187</v>
      </c>
      <c r="C86" s="4" t="s">
        <v>169</v>
      </c>
      <c r="D86" s="5" t="n">
        <v>1</v>
      </c>
      <c r="E86" s="11" t="n">
        <v>454</v>
      </c>
      <c r="F86" s="11" t="n">
        <v>100</v>
      </c>
      <c r="G86" s="5" t="n">
        <v>18</v>
      </c>
      <c r="H86" s="4" t="s">
        <v>152</v>
      </c>
      <c r="I86" s="12" t="n">
        <f aca="false">D86*E86*F86/1000000</f>
        <v>0.0454</v>
      </c>
      <c r="J86" s="4"/>
      <c r="K86" s="4" t="s">
        <v>166</v>
      </c>
    </row>
    <row r="87" customFormat="false" ht="15" hidden="false" customHeight="false" outlineLevel="0" collapsed="false">
      <c r="A87" s="4" t="n">
        <v>83</v>
      </c>
      <c r="B87" s="4" t="s">
        <v>187</v>
      </c>
      <c r="C87" s="4" t="s">
        <v>170</v>
      </c>
      <c r="D87" s="5" t="n">
        <v>1</v>
      </c>
      <c r="E87" s="11" t="n">
        <v>776</v>
      </c>
      <c r="F87" s="11" t="n">
        <v>574</v>
      </c>
      <c r="G87" s="5" t="n">
        <v>18</v>
      </c>
      <c r="H87" s="4" t="s">
        <v>152</v>
      </c>
      <c r="I87" s="12" t="n">
        <f aca="false">D87*E87*F87/1000000</f>
        <v>0.445424</v>
      </c>
      <c r="J87" s="4"/>
      <c r="K87" s="4" t="s">
        <v>153</v>
      </c>
    </row>
    <row r="88" customFormat="false" ht="15" hidden="false" customHeight="false" outlineLevel="0" collapsed="false">
      <c r="A88" s="4" t="n">
        <v>84</v>
      </c>
      <c r="B88" s="4" t="s">
        <v>187</v>
      </c>
      <c r="C88" s="4" t="s">
        <v>172</v>
      </c>
      <c r="D88" s="5" t="n">
        <v>1</v>
      </c>
      <c r="E88" s="11" t="n">
        <v>776</v>
      </c>
      <c r="F88" s="11" t="n">
        <v>574</v>
      </c>
      <c r="G88" s="5" t="n">
        <v>18</v>
      </c>
      <c r="H88" s="4" t="s">
        <v>152</v>
      </c>
      <c r="I88" s="12" t="n">
        <f aca="false">D88*E88*F88/1000000</f>
        <v>0.445424</v>
      </c>
      <c r="J88" s="4"/>
      <c r="K88" s="4" t="s">
        <v>153</v>
      </c>
    </row>
    <row r="89" customFormat="false" ht="15" hidden="false" customHeight="false" outlineLevel="0" collapsed="false">
      <c r="A89" s="4" t="n">
        <v>85</v>
      </c>
      <c r="B89" s="4" t="s">
        <v>187</v>
      </c>
      <c r="C89" s="4" t="s">
        <v>173</v>
      </c>
      <c r="D89" s="5" t="n">
        <v>1</v>
      </c>
      <c r="E89" s="11" t="n">
        <v>414</v>
      </c>
      <c r="F89" s="11" t="n">
        <v>100</v>
      </c>
      <c r="G89" s="5" t="n">
        <v>18</v>
      </c>
      <c r="H89" s="4" t="s">
        <v>152</v>
      </c>
      <c r="I89" s="12" t="n">
        <f aca="false">D89*E89*F89/1000000</f>
        <v>0.0414</v>
      </c>
      <c r="J89" s="4"/>
      <c r="K89" s="4" t="s">
        <v>157</v>
      </c>
    </row>
    <row r="90" customFormat="false" ht="15" hidden="false" customHeight="false" outlineLevel="0" collapsed="false">
      <c r="A90" s="4" t="n">
        <v>86</v>
      </c>
      <c r="B90" s="4" t="s">
        <v>187</v>
      </c>
      <c r="C90" s="4" t="s">
        <v>174</v>
      </c>
      <c r="D90" s="5" t="n">
        <v>1</v>
      </c>
      <c r="E90" s="11" t="n">
        <v>414</v>
      </c>
      <c r="F90" s="11" t="n">
        <v>100</v>
      </c>
      <c r="G90" s="5" t="n">
        <v>18</v>
      </c>
      <c r="H90" s="4" t="s">
        <v>152</v>
      </c>
      <c r="I90" s="12" t="n">
        <f aca="false">D90*E90*F90/1000000</f>
        <v>0.0414</v>
      </c>
      <c r="J90" s="4"/>
      <c r="K90" s="4" t="s">
        <v>157</v>
      </c>
    </row>
    <row r="91" customFormat="false" ht="15" hidden="false" customHeight="false" outlineLevel="0" collapsed="false">
      <c r="A91" s="4" t="n">
        <v>87</v>
      </c>
      <c r="B91" s="4" t="s">
        <v>188</v>
      </c>
      <c r="C91" s="4" t="s">
        <v>151</v>
      </c>
      <c r="D91" s="5" t="n">
        <v>1</v>
      </c>
      <c r="E91" s="11" t="n">
        <v>950</v>
      </c>
      <c r="F91" s="11" t="n">
        <v>457</v>
      </c>
      <c r="G91" s="5" t="n">
        <v>18</v>
      </c>
      <c r="H91" s="4" t="s">
        <v>152</v>
      </c>
      <c r="I91" s="12" t="n">
        <f aca="false">D91*E91*F91/1000000</f>
        <v>0.43415</v>
      </c>
      <c r="J91" s="4" t="s">
        <v>189</v>
      </c>
      <c r="K91" s="4" t="s">
        <v>181</v>
      </c>
    </row>
    <row r="92" customFormat="false" ht="15" hidden="false" customHeight="false" outlineLevel="0" collapsed="false">
      <c r="A92" s="4" t="n">
        <v>88</v>
      </c>
      <c r="B92" s="4" t="s">
        <v>188</v>
      </c>
      <c r="C92" s="4" t="s">
        <v>154</v>
      </c>
      <c r="D92" s="5" t="n">
        <v>1</v>
      </c>
      <c r="E92" s="11" t="n">
        <v>914</v>
      </c>
      <c r="F92" s="11" t="n">
        <v>748</v>
      </c>
      <c r="G92" s="5" t="n">
        <v>18</v>
      </c>
      <c r="H92" s="4" t="s">
        <v>152</v>
      </c>
      <c r="I92" s="12" t="n">
        <f aca="false">D92*E92*F92/1000000</f>
        <v>0.683672</v>
      </c>
      <c r="J92" s="4" t="s">
        <v>189</v>
      </c>
      <c r="K92" s="4" t="s">
        <v>180</v>
      </c>
    </row>
    <row r="93" customFormat="false" ht="15" hidden="false" customHeight="false" outlineLevel="0" collapsed="false">
      <c r="A93" s="4" t="n">
        <v>89</v>
      </c>
      <c r="B93" s="4" t="s">
        <v>188</v>
      </c>
      <c r="C93" s="4" t="s">
        <v>176</v>
      </c>
      <c r="D93" s="5" t="n">
        <v>1</v>
      </c>
      <c r="E93" s="11" t="n">
        <v>472</v>
      </c>
      <c r="F93" s="11" t="n">
        <v>454</v>
      </c>
      <c r="G93" s="5" t="n">
        <v>18</v>
      </c>
      <c r="H93" s="4" t="s">
        <v>152</v>
      </c>
      <c r="I93" s="12" t="n">
        <f aca="false">D93*E93*F93/1000000</f>
        <v>0.214288</v>
      </c>
      <c r="J93" s="4"/>
      <c r="K93" s="4" t="s">
        <v>155</v>
      </c>
    </row>
    <row r="94" customFormat="false" ht="15" hidden="false" customHeight="false" outlineLevel="0" collapsed="false">
      <c r="A94" s="4" t="n">
        <v>90</v>
      </c>
      <c r="B94" s="4" t="s">
        <v>188</v>
      </c>
      <c r="C94" s="4" t="s">
        <v>177</v>
      </c>
      <c r="D94" s="5" t="n">
        <v>1</v>
      </c>
      <c r="E94" s="11" t="n">
        <v>472</v>
      </c>
      <c r="F94" s="11" t="n">
        <v>454</v>
      </c>
      <c r="G94" s="5" t="n">
        <v>18</v>
      </c>
      <c r="H94" s="4" t="s">
        <v>152</v>
      </c>
      <c r="I94" s="12" t="n">
        <f aca="false">D94*E94*F94/1000000</f>
        <v>0.214288</v>
      </c>
      <c r="J94" s="4"/>
      <c r="K94" s="4" t="s">
        <v>157</v>
      </c>
    </row>
    <row r="95" customFormat="false" ht="15" hidden="false" customHeight="false" outlineLevel="0" collapsed="false">
      <c r="A95" s="4" t="n">
        <v>91</v>
      </c>
      <c r="B95" s="4" t="s">
        <v>188</v>
      </c>
      <c r="C95" s="4" t="s">
        <v>190</v>
      </c>
      <c r="D95" s="5" t="n">
        <v>1</v>
      </c>
      <c r="E95" s="11" t="n">
        <v>457</v>
      </c>
      <c r="F95" s="11" t="n">
        <v>122</v>
      </c>
      <c r="G95" s="5" t="n">
        <v>18</v>
      </c>
      <c r="H95" s="4" t="s">
        <v>152</v>
      </c>
      <c r="I95" s="12" t="n">
        <f aca="false">D95*E95*F95/1000000</f>
        <v>0.055754</v>
      </c>
      <c r="J95" s="4"/>
      <c r="K95" s="4" t="s">
        <v>163</v>
      </c>
    </row>
    <row r="96" customFormat="false" ht="15" hidden="false" customHeight="false" outlineLevel="0" collapsed="false">
      <c r="A96" s="4" t="n">
        <v>92</v>
      </c>
      <c r="B96" s="4" t="s">
        <v>188</v>
      </c>
      <c r="C96" s="4" t="s">
        <v>191</v>
      </c>
      <c r="D96" s="5" t="n">
        <v>1</v>
      </c>
      <c r="E96" s="11" t="n">
        <v>457</v>
      </c>
      <c r="F96" s="11" t="n">
        <v>124</v>
      </c>
      <c r="G96" s="5" t="n">
        <v>18</v>
      </c>
      <c r="H96" s="4" t="s">
        <v>152</v>
      </c>
      <c r="I96" s="12" t="n">
        <f aca="false">D96*E96*F96/1000000</f>
        <v>0.056668</v>
      </c>
      <c r="J96" s="4"/>
      <c r="K96" s="4" t="s">
        <v>155</v>
      </c>
    </row>
    <row r="97" customFormat="false" ht="15" hidden="false" customHeight="false" outlineLevel="0" collapsed="false">
      <c r="A97" s="4" t="n">
        <v>93</v>
      </c>
      <c r="B97" s="4" t="s">
        <v>188</v>
      </c>
      <c r="C97" s="4" t="s">
        <v>192</v>
      </c>
      <c r="D97" s="5" t="n">
        <v>1</v>
      </c>
      <c r="E97" s="11" t="n">
        <v>914</v>
      </c>
      <c r="F97" s="11" t="n">
        <v>710</v>
      </c>
      <c r="G97" s="5" t="n">
        <v>18</v>
      </c>
      <c r="H97" s="4" t="s">
        <v>152</v>
      </c>
      <c r="I97" s="12" t="n">
        <f aca="false">D97*E97*F97/1000000</f>
        <v>0.64894</v>
      </c>
      <c r="J97" s="4" t="s">
        <v>189</v>
      </c>
      <c r="K97" s="4" t="s">
        <v>182</v>
      </c>
    </row>
    <row r="98" customFormat="false" ht="15" hidden="false" customHeight="false" outlineLevel="0" collapsed="false">
      <c r="A98" s="4" t="n">
        <v>94</v>
      </c>
      <c r="B98" s="4" t="s">
        <v>188</v>
      </c>
      <c r="C98" s="4" t="s">
        <v>170</v>
      </c>
      <c r="D98" s="5" t="n">
        <v>1</v>
      </c>
      <c r="E98" s="11" t="n">
        <v>748</v>
      </c>
      <c r="F98" s="11" t="n">
        <v>457</v>
      </c>
      <c r="G98" s="5" t="n">
        <v>18</v>
      </c>
      <c r="H98" s="4" t="s">
        <v>152</v>
      </c>
      <c r="I98" s="12" t="n">
        <f aca="false">D98*E98*F98/1000000</f>
        <v>0.341836</v>
      </c>
      <c r="J98" s="4" t="s">
        <v>189</v>
      </c>
      <c r="K98" s="4" t="s">
        <v>163</v>
      </c>
    </row>
    <row r="99" customFormat="false" ht="15" hidden="false" customHeight="false" outlineLevel="0" collapsed="false">
      <c r="A99" s="4" t="n">
        <v>95</v>
      </c>
      <c r="B99" s="4" t="s">
        <v>188</v>
      </c>
      <c r="C99" s="4" t="s">
        <v>172</v>
      </c>
      <c r="D99" s="5" t="n">
        <v>1</v>
      </c>
      <c r="E99" s="11" t="n">
        <v>748</v>
      </c>
      <c r="F99" s="11" t="n">
        <v>457</v>
      </c>
      <c r="G99" s="5" t="n">
        <v>18</v>
      </c>
      <c r="H99" s="4" t="s">
        <v>152</v>
      </c>
      <c r="I99" s="12" t="n">
        <f aca="false">D99*E99*F99/1000000</f>
        <v>0.341836</v>
      </c>
      <c r="J99" s="4"/>
      <c r="K99" s="4" t="s">
        <v>163</v>
      </c>
    </row>
    <row r="100" customFormat="false" ht="15" hidden="false" customHeight="false" outlineLevel="0" collapsed="false">
      <c r="A100" s="4" t="n">
        <v>96</v>
      </c>
      <c r="B100" s="4" t="s">
        <v>188</v>
      </c>
      <c r="C100" s="4" t="s">
        <v>193</v>
      </c>
      <c r="D100" s="5" t="n">
        <v>1</v>
      </c>
      <c r="E100" s="11" t="n">
        <v>914</v>
      </c>
      <c r="F100" s="11" t="n">
        <v>748</v>
      </c>
      <c r="G100" s="5" t="n">
        <v>18</v>
      </c>
      <c r="H100" s="4" t="s">
        <v>152</v>
      </c>
      <c r="I100" s="12" t="n">
        <f aca="false">D100*E100*F100/1000000</f>
        <v>0.683672</v>
      </c>
      <c r="J100" s="4" t="s">
        <v>189</v>
      </c>
      <c r="K100" s="4" t="s">
        <v>182</v>
      </c>
    </row>
    <row r="101" customFormat="false" ht="15" hidden="false" customHeight="false" outlineLevel="0" collapsed="false">
      <c r="A101" s="4" t="n">
        <v>97</v>
      </c>
      <c r="B101" s="4" t="s">
        <v>194</v>
      </c>
      <c r="C101" s="4" t="s">
        <v>195</v>
      </c>
      <c r="D101" s="5" t="n">
        <v>1</v>
      </c>
      <c r="E101" s="11" t="n">
        <v>2286</v>
      </c>
      <c r="F101" s="11" t="n">
        <v>784</v>
      </c>
      <c r="G101" s="5" t="n">
        <v>18</v>
      </c>
      <c r="H101" s="4" t="s">
        <v>152</v>
      </c>
      <c r="I101" s="12" t="n">
        <f aca="false">D101*E101*F101/1000000</f>
        <v>1.792224</v>
      </c>
      <c r="J101" s="4"/>
      <c r="K101" s="4" t="s">
        <v>166</v>
      </c>
    </row>
    <row r="102" customFormat="false" ht="15" hidden="false" customHeight="false" outlineLevel="0" collapsed="false">
      <c r="A102" s="4" t="n">
        <v>98</v>
      </c>
      <c r="B102" s="4" t="s">
        <v>194</v>
      </c>
      <c r="C102" s="4" t="s">
        <v>196</v>
      </c>
      <c r="D102" s="5" t="n">
        <v>1</v>
      </c>
      <c r="E102" s="11" t="n">
        <v>2286</v>
      </c>
      <c r="F102" s="11" t="n">
        <v>30</v>
      </c>
      <c r="G102" s="5" t="n">
        <v>18</v>
      </c>
      <c r="H102" s="4" t="s">
        <v>152</v>
      </c>
      <c r="I102" s="12" t="n">
        <f aca="false">D102*E102*F102/1000000</f>
        <v>0.06858</v>
      </c>
      <c r="J102" s="4"/>
      <c r="K102" s="4" t="s">
        <v>166</v>
      </c>
    </row>
    <row r="103" customFormat="false" ht="15" hidden="false" customHeight="false" outlineLevel="0" collapsed="false">
      <c r="A103" s="4" t="n">
        <v>99</v>
      </c>
      <c r="B103" s="4" t="s">
        <v>194</v>
      </c>
      <c r="C103" s="4" t="s">
        <v>197</v>
      </c>
      <c r="D103" s="5" t="n">
        <v>1</v>
      </c>
      <c r="E103" s="11" t="n">
        <v>2286</v>
      </c>
      <c r="F103" s="11" t="n">
        <v>784</v>
      </c>
      <c r="G103" s="5" t="n">
        <v>18</v>
      </c>
      <c r="H103" s="4" t="s">
        <v>152</v>
      </c>
      <c r="I103" s="12" t="n">
        <f aca="false">D103*E103*F103/1000000</f>
        <v>1.792224</v>
      </c>
      <c r="J103" s="4"/>
      <c r="K103" s="4" t="s">
        <v>179</v>
      </c>
    </row>
    <row r="104" customFormat="false" ht="15" hidden="false" customHeight="false" outlineLevel="0" collapsed="false">
      <c r="A104" s="4" t="n">
        <v>100</v>
      </c>
      <c r="B104" s="4" t="s">
        <v>198</v>
      </c>
      <c r="C104" s="4" t="s">
        <v>199</v>
      </c>
      <c r="D104" s="5" t="n">
        <v>1</v>
      </c>
      <c r="E104" s="11" t="n">
        <v>1016</v>
      </c>
      <c r="F104" s="11" t="n">
        <v>50.8</v>
      </c>
      <c r="G104" s="5" t="n">
        <v>18</v>
      </c>
      <c r="H104" s="4" t="s">
        <v>152</v>
      </c>
      <c r="I104" s="12" t="n">
        <f aca="false">D104*E104*F104/1000000</f>
        <v>0.0516128</v>
      </c>
      <c r="J104" s="4"/>
      <c r="K104" s="4" t="s">
        <v>181</v>
      </c>
    </row>
    <row r="105" customFormat="false" ht="15" hidden="false" customHeight="false" outlineLevel="0" collapsed="false">
      <c r="A105" s="4" t="n">
        <v>101</v>
      </c>
      <c r="B105" s="4" t="s">
        <v>198</v>
      </c>
      <c r="C105" s="4" t="s">
        <v>200</v>
      </c>
      <c r="D105" s="5" t="n">
        <v>1</v>
      </c>
      <c r="E105" s="11" t="n">
        <v>1938</v>
      </c>
      <c r="F105" s="11" t="n">
        <v>50.8</v>
      </c>
      <c r="G105" s="5" t="n">
        <v>18</v>
      </c>
      <c r="H105" s="4" t="s">
        <v>152</v>
      </c>
      <c r="I105" s="12" t="n">
        <f aca="false">D105*E105*F105/1000000</f>
        <v>0.0984504</v>
      </c>
      <c r="J105" s="4"/>
      <c r="K105" s="4" t="s">
        <v>166</v>
      </c>
    </row>
    <row r="106" customFormat="false" ht="15" hidden="false" customHeight="false" outlineLevel="0" collapsed="false">
      <c r="A106" s="4" t="n">
        <v>102</v>
      </c>
      <c r="B106" s="4" t="s">
        <v>198</v>
      </c>
      <c r="C106" s="4" t="s">
        <v>201</v>
      </c>
      <c r="D106" s="5" t="n">
        <v>1</v>
      </c>
      <c r="E106" s="11" t="n">
        <v>652.8</v>
      </c>
      <c r="F106" s="11" t="n">
        <v>50.8</v>
      </c>
      <c r="G106" s="5" t="n">
        <v>18</v>
      </c>
      <c r="H106" s="4" t="s">
        <v>152</v>
      </c>
      <c r="I106" s="12" t="n">
        <f aca="false">D106*E106*F106/1000000</f>
        <v>0.03316224</v>
      </c>
      <c r="J106" s="4"/>
      <c r="K106" s="4" t="s">
        <v>171</v>
      </c>
    </row>
    <row r="107" customFormat="false" ht="15" hidden="false" customHeight="false" outlineLevel="0" collapsed="false">
      <c r="A107" s="4" t="n">
        <v>103</v>
      </c>
      <c r="B107" s="4" t="s">
        <v>202</v>
      </c>
      <c r="C107" s="4" t="s">
        <v>203</v>
      </c>
      <c r="D107" s="5" t="n">
        <v>3</v>
      </c>
      <c r="E107" s="11" t="n">
        <v>609.6</v>
      </c>
      <c r="F107" s="11" t="n">
        <v>46</v>
      </c>
      <c r="G107" s="5" t="n">
        <v>18</v>
      </c>
      <c r="H107" s="4" t="s">
        <v>152</v>
      </c>
      <c r="I107" s="12" t="n">
        <f aca="false">D107*E107*F107/1000000</f>
        <v>0.0841248</v>
      </c>
      <c r="J107" s="4" t="s">
        <v>204</v>
      </c>
      <c r="K107" s="4" t="s">
        <v>205</v>
      </c>
    </row>
    <row r="108" customFormat="false" ht="15" hidden="false" customHeight="false" outlineLevel="0" collapsed="false">
      <c r="A108" s="4" t="n">
        <v>104</v>
      </c>
      <c r="B108" s="4" t="s">
        <v>202</v>
      </c>
      <c r="C108" s="4" t="s">
        <v>206</v>
      </c>
      <c r="D108" s="5" t="n">
        <v>1</v>
      </c>
      <c r="E108" s="11" t="n">
        <v>609.6</v>
      </c>
      <c r="F108" s="11" t="n">
        <v>609.6</v>
      </c>
      <c r="G108" s="5" t="n">
        <v>18</v>
      </c>
      <c r="H108" s="4" t="s">
        <v>152</v>
      </c>
      <c r="I108" s="12" t="n">
        <f aca="false">D108*E108*F108/1000000</f>
        <v>0.37161216</v>
      </c>
      <c r="J108" s="4" t="s">
        <v>207</v>
      </c>
      <c r="K108" s="4" t="s">
        <v>155</v>
      </c>
    </row>
    <row r="109" customFormat="false" ht="15" hidden="false" customHeight="false" outlineLevel="0" collapsed="false">
      <c r="A109" s="4" t="n">
        <v>105</v>
      </c>
      <c r="B109" s="4" t="s">
        <v>208</v>
      </c>
      <c r="C109" s="4" t="s">
        <v>151</v>
      </c>
      <c r="D109" s="5" t="n">
        <v>1</v>
      </c>
      <c r="E109" s="11" t="n">
        <v>914</v>
      </c>
      <c r="F109" s="11" t="n">
        <v>400</v>
      </c>
      <c r="G109" s="5" t="n">
        <v>18</v>
      </c>
      <c r="H109" s="4" t="s">
        <v>152</v>
      </c>
      <c r="I109" s="12" t="n">
        <f aca="false">D109*E109*F109/1000000</f>
        <v>0.3656</v>
      </c>
      <c r="J109" s="4"/>
      <c r="K109" s="4" t="s">
        <v>180</v>
      </c>
    </row>
    <row r="110" customFormat="false" ht="15" hidden="false" customHeight="false" outlineLevel="0" collapsed="false">
      <c r="A110" s="4" t="n">
        <v>106</v>
      </c>
      <c r="B110" s="4" t="s">
        <v>208</v>
      </c>
      <c r="C110" s="4" t="s">
        <v>154</v>
      </c>
      <c r="D110" s="5" t="n">
        <v>1</v>
      </c>
      <c r="E110" s="11" t="n">
        <v>364</v>
      </c>
      <c r="F110" s="11" t="n">
        <v>294</v>
      </c>
      <c r="G110" s="5" t="n">
        <v>18</v>
      </c>
      <c r="H110" s="4" t="s">
        <v>152</v>
      </c>
      <c r="I110" s="12" t="n">
        <f aca="false">D110*E110*F110/1000000</f>
        <v>0.107016</v>
      </c>
      <c r="J110" s="4"/>
      <c r="K110" s="4" t="s">
        <v>157</v>
      </c>
    </row>
    <row r="111" customFormat="false" ht="15" hidden="false" customHeight="false" outlineLevel="0" collapsed="false">
      <c r="A111" s="4" t="n">
        <v>107</v>
      </c>
      <c r="B111" s="4" t="s">
        <v>208</v>
      </c>
      <c r="C111" s="4" t="s">
        <v>176</v>
      </c>
      <c r="D111" s="5" t="n">
        <v>1</v>
      </c>
      <c r="E111" s="11" t="n">
        <v>911</v>
      </c>
      <c r="F111" s="11" t="n">
        <v>397</v>
      </c>
      <c r="G111" s="5" t="n">
        <v>18</v>
      </c>
      <c r="H111" s="4" t="s">
        <v>152</v>
      </c>
      <c r="I111" s="12" t="n">
        <f aca="false">D111*E111*F111/1000000</f>
        <v>0.361667</v>
      </c>
      <c r="J111" s="4"/>
      <c r="K111" s="4" t="s">
        <v>179</v>
      </c>
    </row>
    <row r="112" customFormat="false" ht="15" hidden="false" customHeight="false" outlineLevel="0" collapsed="false">
      <c r="A112" s="4" t="n">
        <v>108</v>
      </c>
      <c r="B112" s="4" t="s">
        <v>208</v>
      </c>
      <c r="C112" s="4" t="s">
        <v>192</v>
      </c>
      <c r="D112" s="5" t="n">
        <v>1</v>
      </c>
      <c r="E112" s="11" t="n">
        <v>364</v>
      </c>
      <c r="F112" s="11" t="n">
        <v>256</v>
      </c>
      <c r="G112" s="5" t="n">
        <v>18</v>
      </c>
      <c r="H112" s="4" t="s">
        <v>152</v>
      </c>
      <c r="I112" s="12" t="n">
        <f aca="false">D112*E112*F112/1000000</f>
        <v>0.093184</v>
      </c>
      <c r="J112" s="4"/>
      <c r="K112" s="4" t="s">
        <v>181</v>
      </c>
    </row>
    <row r="113" customFormat="false" ht="15" hidden="false" customHeight="false" outlineLevel="0" collapsed="false">
      <c r="A113" s="4" t="n">
        <v>109</v>
      </c>
      <c r="B113" s="4" t="s">
        <v>208</v>
      </c>
      <c r="C113" s="4" t="s">
        <v>209</v>
      </c>
      <c r="D113" s="5" t="n">
        <v>1</v>
      </c>
      <c r="E113" s="11" t="n">
        <v>364</v>
      </c>
      <c r="F113" s="11" t="n">
        <v>256</v>
      </c>
      <c r="G113" s="5" t="n">
        <v>18</v>
      </c>
      <c r="H113" s="4" t="s">
        <v>152</v>
      </c>
      <c r="I113" s="12" t="n">
        <f aca="false">D113*E113*F113/1000000</f>
        <v>0.093184</v>
      </c>
      <c r="J113" s="4"/>
      <c r="K113" s="4" t="s">
        <v>157</v>
      </c>
    </row>
    <row r="114" customFormat="false" ht="15" hidden="false" customHeight="false" outlineLevel="0" collapsed="false">
      <c r="A114" s="4" t="n">
        <v>110</v>
      </c>
      <c r="B114" s="4" t="s">
        <v>208</v>
      </c>
      <c r="C114" s="4" t="s">
        <v>170</v>
      </c>
      <c r="D114" s="5" t="n">
        <v>1</v>
      </c>
      <c r="E114" s="11" t="n">
        <v>914</v>
      </c>
      <c r="F114" s="11" t="n">
        <v>294</v>
      </c>
      <c r="G114" s="5" t="n">
        <v>18</v>
      </c>
      <c r="H114" s="4" t="s">
        <v>152</v>
      </c>
      <c r="I114" s="12" t="n">
        <f aca="false">D114*E114*F114/1000000</f>
        <v>0.268716</v>
      </c>
      <c r="J114" s="4"/>
      <c r="K114" s="4" t="s">
        <v>180</v>
      </c>
    </row>
    <row r="115" customFormat="false" ht="15" hidden="false" customHeight="false" outlineLevel="0" collapsed="false">
      <c r="A115" s="4" t="n">
        <v>111</v>
      </c>
      <c r="B115" s="4" t="s">
        <v>208</v>
      </c>
      <c r="C115" s="4" t="s">
        <v>172</v>
      </c>
      <c r="D115" s="5" t="n">
        <v>1</v>
      </c>
      <c r="E115" s="11" t="n">
        <v>914</v>
      </c>
      <c r="F115" s="11" t="n">
        <v>294</v>
      </c>
      <c r="G115" s="5" t="n">
        <v>18</v>
      </c>
      <c r="H115" s="4" t="s">
        <v>152</v>
      </c>
      <c r="I115" s="12" t="n">
        <f aca="false">D115*E115*F115/1000000</f>
        <v>0.268716</v>
      </c>
      <c r="J115" s="4"/>
      <c r="K115" s="4" t="s">
        <v>181</v>
      </c>
    </row>
    <row r="116" customFormat="false" ht="15" hidden="false" customHeight="false" outlineLevel="0" collapsed="false">
      <c r="A116" s="4" t="n">
        <v>112</v>
      </c>
      <c r="B116" s="4" t="s">
        <v>208</v>
      </c>
      <c r="C116" s="4" t="s">
        <v>193</v>
      </c>
      <c r="D116" s="5" t="n">
        <v>1</v>
      </c>
      <c r="E116" s="11" t="n">
        <v>364</v>
      </c>
      <c r="F116" s="11" t="n">
        <v>294</v>
      </c>
      <c r="G116" s="5" t="n">
        <v>18</v>
      </c>
      <c r="H116" s="4" t="s">
        <v>152</v>
      </c>
      <c r="I116" s="12" t="n">
        <f aca="false">D116*E116*F116/1000000</f>
        <v>0.107016</v>
      </c>
      <c r="J116" s="4"/>
      <c r="K116" s="4" t="s">
        <v>157</v>
      </c>
    </row>
    <row r="117" customFormat="false" ht="15" hidden="false" customHeight="false" outlineLevel="0" collapsed="false">
      <c r="A117" s="4" t="n">
        <v>113</v>
      </c>
      <c r="B117" s="4" t="s">
        <v>96</v>
      </c>
      <c r="C117" s="4" t="s">
        <v>151</v>
      </c>
      <c r="D117" s="5" t="n">
        <v>1</v>
      </c>
      <c r="E117" s="11" t="n">
        <v>672</v>
      </c>
      <c r="F117" s="11" t="n">
        <v>620</v>
      </c>
      <c r="G117" s="5" t="n">
        <v>18</v>
      </c>
      <c r="H117" s="4" t="s">
        <v>152</v>
      </c>
      <c r="I117" s="12" t="n">
        <f aca="false">D117*E117*F117/1000000</f>
        <v>0.41664</v>
      </c>
      <c r="J117" s="4"/>
      <c r="K117" s="4" t="s">
        <v>155</v>
      </c>
    </row>
    <row r="118" customFormat="false" ht="15" hidden="false" customHeight="false" outlineLevel="0" collapsed="false">
      <c r="A118" s="4" t="n">
        <v>114</v>
      </c>
      <c r="B118" s="4" t="s">
        <v>96</v>
      </c>
      <c r="C118" s="4" t="s">
        <v>154</v>
      </c>
      <c r="D118" s="5" t="n">
        <v>1</v>
      </c>
      <c r="E118" s="11" t="n">
        <v>584</v>
      </c>
      <c r="F118" s="11" t="n">
        <v>294</v>
      </c>
      <c r="G118" s="5" t="n">
        <v>18</v>
      </c>
      <c r="H118" s="4" t="s">
        <v>152</v>
      </c>
      <c r="I118" s="12" t="n">
        <f aca="false">D118*E118*F118/1000000</f>
        <v>0.171696</v>
      </c>
      <c r="J118" s="4" t="s">
        <v>210</v>
      </c>
      <c r="K118" s="4" t="s">
        <v>180</v>
      </c>
    </row>
    <row r="119" customFormat="false" ht="15" hidden="false" customHeight="false" outlineLevel="0" collapsed="false">
      <c r="A119" s="4" t="n">
        <v>115</v>
      </c>
      <c r="B119" s="4" t="s">
        <v>96</v>
      </c>
      <c r="C119" s="4" t="s">
        <v>176</v>
      </c>
      <c r="D119" s="5" t="n">
        <v>1</v>
      </c>
      <c r="E119" s="11" t="n">
        <v>669</v>
      </c>
      <c r="F119" s="11" t="n">
        <v>617</v>
      </c>
      <c r="G119" s="5" t="n">
        <v>18</v>
      </c>
      <c r="H119" s="4" t="s">
        <v>152</v>
      </c>
      <c r="I119" s="12" t="n">
        <f aca="false">D119*E119*F119/1000000</f>
        <v>0.412773</v>
      </c>
      <c r="J119" s="4"/>
      <c r="K119" s="4" t="s">
        <v>155</v>
      </c>
    </row>
    <row r="120" customFormat="false" ht="15" hidden="false" customHeight="false" outlineLevel="0" collapsed="false">
      <c r="A120" s="4" t="n">
        <v>116</v>
      </c>
      <c r="B120" s="4" t="s">
        <v>96</v>
      </c>
      <c r="C120" s="4" t="s">
        <v>192</v>
      </c>
      <c r="D120" s="5" t="n">
        <v>1</v>
      </c>
      <c r="E120" s="11" t="n">
        <v>584</v>
      </c>
      <c r="F120" s="11" t="n">
        <v>224</v>
      </c>
      <c r="G120" s="5" t="n">
        <v>18</v>
      </c>
      <c r="H120" s="4" t="s">
        <v>152</v>
      </c>
      <c r="I120" s="12" t="n">
        <f aca="false">D120*E120*F120/1000000</f>
        <v>0.130816</v>
      </c>
      <c r="J120" s="4"/>
      <c r="K120" s="4" t="s">
        <v>155</v>
      </c>
    </row>
    <row r="121" customFormat="false" ht="15" hidden="false" customHeight="false" outlineLevel="0" collapsed="false">
      <c r="A121" s="4" t="n">
        <v>117</v>
      </c>
      <c r="B121" s="4" t="s">
        <v>96</v>
      </c>
      <c r="C121" s="4" t="s">
        <v>209</v>
      </c>
      <c r="D121" s="5" t="n">
        <v>1</v>
      </c>
      <c r="E121" s="11" t="n">
        <v>584</v>
      </c>
      <c r="F121" s="11" t="n">
        <v>224</v>
      </c>
      <c r="G121" s="5" t="n">
        <v>18</v>
      </c>
      <c r="H121" s="4" t="s">
        <v>152</v>
      </c>
      <c r="I121" s="12" t="n">
        <f aca="false">D121*E121*F121/1000000</f>
        <v>0.130816</v>
      </c>
      <c r="J121" s="4"/>
      <c r="K121" s="4" t="s">
        <v>179</v>
      </c>
    </row>
    <row r="122" customFormat="false" ht="15" hidden="false" customHeight="false" outlineLevel="0" collapsed="false">
      <c r="A122" s="4" t="n">
        <v>118</v>
      </c>
      <c r="B122" s="4" t="s">
        <v>96</v>
      </c>
      <c r="C122" s="4" t="s">
        <v>170</v>
      </c>
      <c r="D122" s="5" t="n">
        <v>1</v>
      </c>
      <c r="E122" s="11" t="n">
        <v>672</v>
      </c>
      <c r="F122" s="11" t="n">
        <v>294</v>
      </c>
      <c r="G122" s="5" t="n">
        <v>18</v>
      </c>
      <c r="H122" s="4" t="s">
        <v>152</v>
      </c>
      <c r="I122" s="12" t="n">
        <f aca="false">D122*E122*F122/1000000</f>
        <v>0.197568</v>
      </c>
      <c r="J122" s="4"/>
      <c r="K122" s="4" t="s">
        <v>175</v>
      </c>
    </row>
    <row r="123" customFormat="false" ht="15" hidden="false" customHeight="false" outlineLevel="0" collapsed="false">
      <c r="A123" s="4" t="n">
        <v>119</v>
      </c>
      <c r="B123" s="4" t="s">
        <v>96</v>
      </c>
      <c r="C123" s="4" t="s">
        <v>172</v>
      </c>
      <c r="D123" s="5" t="n">
        <v>1</v>
      </c>
      <c r="E123" s="11" t="n">
        <v>672</v>
      </c>
      <c r="F123" s="11" t="n">
        <v>294</v>
      </c>
      <c r="G123" s="5" t="n">
        <v>18</v>
      </c>
      <c r="H123" s="4" t="s">
        <v>152</v>
      </c>
      <c r="I123" s="12" t="n">
        <f aca="false">D123*E123*F123/1000000</f>
        <v>0.197568</v>
      </c>
      <c r="J123" s="4"/>
      <c r="K123" s="4" t="s">
        <v>163</v>
      </c>
    </row>
    <row r="124" customFormat="false" ht="15" hidden="false" customHeight="false" outlineLevel="0" collapsed="false">
      <c r="A124" s="4" t="n">
        <v>120</v>
      </c>
      <c r="B124" s="4" t="s">
        <v>96</v>
      </c>
      <c r="C124" s="4" t="s">
        <v>193</v>
      </c>
      <c r="D124" s="5" t="n">
        <v>1</v>
      </c>
      <c r="E124" s="11" t="n">
        <v>584</v>
      </c>
      <c r="F124" s="11" t="n">
        <v>294</v>
      </c>
      <c r="G124" s="5" t="n">
        <v>18</v>
      </c>
      <c r="H124" s="4" t="s">
        <v>152</v>
      </c>
      <c r="I124" s="12" t="n">
        <f aca="false">D124*E124*F124/1000000</f>
        <v>0.171696</v>
      </c>
      <c r="J124" s="4"/>
      <c r="K124" s="4" t="s">
        <v>182</v>
      </c>
    </row>
    <row r="125" customFormat="false" ht="15" hidden="false" customHeight="false" outlineLevel="0" collapsed="false">
      <c r="A125" s="4" t="n">
        <v>121</v>
      </c>
      <c r="B125" s="4" t="s">
        <v>211</v>
      </c>
      <c r="C125" s="4" t="s">
        <v>151</v>
      </c>
      <c r="D125" s="5" t="n">
        <v>1</v>
      </c>
      <c r="E125" s="11" t="n">
        <v>914</v>
      </c>
      <c r="F125" s="11" t="n">
        <v>652.8</v>
      </c>
      <c r="G125" s="5" t="n">
        <v>18</v>
      </c>
      <c r="H125" s="4" t="s">
        <v>152</v>
      </c>
      <c r="I125" s="12" t="n">
        <f aca="false">D125*E125*F125/1000000</f>
        <v>0.5966592</v>
      </c>
      <c r="J125" s="4" t="s">
        <v>189</v>
      </c>
      <c r="K125" s="4" t="s">
        <v>178</v>
      </c>
    </row>
    <row r="126" customFormat="false" ht="15" hidden="false" customHeight="false" outlineLevel="0" collapsed="false">
      <c r="A126" s="4" t="n">
        <v>122</v>
      </c>
      <c r="B126" s="4" t="s">
        <v>211</v>
      </c>
      <c r="C126" s="4" t="s">
        <v>154</v>
      </c>
      <c r="D126" s="5" t="n">
        <v>1</v>
      </c>
      <c r="E126" s="11" t="n">
        <v>616.8</v>
      </c>
      <c r="F126" s="11" t="n">
        <v>294</v>
      </c>
      <c r="G126" s="5" t="n">
        <v>18</v>
      </c>
      <c r="H126" s="4" t="s">
        <v>152</v>
      </c>
      <c r="I126" s="12" t="n">
        <f aca="false">D126*E126*F126/1000000</f>
        <v>0.1813392</v>
      </c>
      <c r="J126" s="4" t="s">
        <v>189</v>
      </c>
      <c r="K126" s="4" t="s">
        <v>181</v>
      </c>
    </row>
    <row r="127" customFormat="false" ht="15" hidden="false" customHeight="false" outlineLevel="0" collapsed="false">
      <c r="A127" s="4" t="n">
        <v>123</v>
      </c>
      <c r="B127" s="4" t="s">
        <v>211</v>
      </c>
      <c r="C127" s="4" t="s">
        <v>176</v>
      </c>
      <c r="D127" s="5" t="n">
        <v>1</v>
      </c>
      <c r="E127" s="11" t="n">
        <v>911</v>
      </c>
      <c r="F127" s="11" t="n">
        <v>323.4</v>
      </c>
      <c r="G127" s="5" t="n">
        <v>18</v>
      </c>
      <c r="H127" s="4" t="s">
        <v>152</v>
      </c>
      <c r="I127" s="12" t="n">
        <f aca="false">D127*E127*F127/1000000</f>
        <v>0.2946174</v>
      </c>
      <c r="J127" s="4"/>
      <c r="K127" s="4" t="s">
        <v>166</v>
      </c>
    </row>
    <row r="128" customFormat="false" ht="15" hidden="false" customHeight="false" outlineLevel="0" collapsed="false">
      <c r="A128" s="4" t="n">
        <v>124</v>
      </c>
      <c r="B128" s="4" t="s">
        <v>211</v>
      </c>
      <c r="C128" s="4" t="s">
        <v>177</v>
      </c>
      <c r="D128" s="5" t="n">
        <v>1</v>
      </c>
      <c r="E128" s="11" t="n">
        <v>911</v>
      </c>
      <c r="F128" s="11" t="n">
        <v>323.4</v>
      </c>
      <c r="G128" s="5" t="n">
        <v>18</v>
      </c>
      <c r="H128" s="4" t="s">
        <v>152</v>
      </c>
      <c r="I128" s="12" t="n">
        <f aca="false">D128*E128*F128/1000000</f>
        <v>0.2946174</v>
      </c>
      <c r="J128" s="4"/>
      <c r="K128" s="4" t="s">
        <v>179</v>
      </c>
    </row>
    <row r="129" customFormat="false" ht="15" hidden="false" customHeight="false" outlineLevel="0" collapsed="false">
      <c r="A129" s="4" t="n">
        <v>125</v>
      </c>
      <c r="B129" s="4" t="s">
        <v>211</v>
      </c>
      <c r="C129" s="4" t="s">
        <v>190</v>
      </c>
      <c r="D129" s="5" t="n">
        <v>1</v>
      </c>
      <c r="E129" s="11" t="n">
        <v>914</v>
      </c>
      <c r="F129" s="11" t="n">
        <v>142</v>
      </c>
      <c r="G129" s="5" t="n">
        <v>18</v>
      </c>
      <c r="H129" s="4" t="s">
        <v>152</v>
      </c>
      <c r="I129" s="12" t="n">
        <f aca="false">D129*E129*F129/1000000</f>
        <v>0.129788</v>
      </c>
      <c r="J129" s="4"/>
      <c r="K129" s="4" t="s">
        <v>182</v>
      </c>
    </row>
    <row r="130" customFormat="false" ht="15" hidden="false" customHeight="false" outlineLevel="0" collapsed="false">
      <c r="A130" s="4" t="n">
        <v>126</v>
      </c>
      <c r="B130" s="4" t="s">
        <v>211</v>
      </c>
      <c r="C130" s="4" t="s">
        <v>191</v>
      </c>
      <c r="D130" s="5" t="n">
        <v>1</v>
      </c>
      <c r="E130" s="11" t="n">
        <v>914</v>
      </c>
      <c r="F130" s="11" t="n">
        <v>124</v>
      </c>
      <c r="G130" s="5" t="n">
        <v>18</v>
      </c>
      <c r="H130" s="4" t="s">
        <v>152</v>
      </c>
      <c r="I130" s="12" t="n">
        <f aca="false">D130*E130*F130/1000000</f>
        <v>0.113336</v>
      </c>
      <c r="J130" s="4"/>
      <c r="K130" s="4" t="s">
        <v>182</v>
      </c>
    </row>
    <row r="131" customFormat="false" ht="15" hidden="false" customHeight="false" outlineLevel="0" collapsed="false">
      <c r="A131" s="4" t="n">
        <v>127</v>
      </c>
      <c r="B131" s="4" t="s">
        <v>211</v>
      </c>
      <c r="C131" s="4" t="s">
        <v>192</v>
      </c>
      <c r="D131" s="5" t="n">
        <v>1</v>
      </c>
      <c r="E131" s="11" t="n">
        <v>616.8</v>
      </c>
      <c r="F131" s="11" t="n">
        <v>256</v>
      </c>
      <c r="G131" s="5" t="n">
        <v>18</v>
      </c>
      <c r="H131" s="4" t="s">
        <v>152</v>
      </c>
      <c r="I131" s="12" t="n">
        <f aca="false">D131*E131*F131/1000000</f>
        <v>0.1579008</v>
      </c>
      <c r="J131" s="4" t="s">
        <v>189</v>
      </c>
      <c r="K131" s="4" t="s">
        <v>181</v>
      </c>
    </row>
    <row r="132" customFormat="false" ht="15" hidden="false" customHeight="false" outlineLevel="0" collapsed="false">
      <c r="A132" s="4" t="n">
        <v>128</v>
      </c>
      <c r="B132" s="4" t="s">
        <v>211</v>
      </c>
      <c r="C132" s="4" t="s">
        <v>209</v>
      </c>
      <c r="D132" s="5" t="n">
        <v>1</v>
      </c>
      <c r="E132" s="11" t="n">
        <v>616.8</v>
      </c>
      <c r="F132" s="11" t="n">
        <v>256</v>
      </c>
      <c r="G132" s="5" t="n">
        <v>18</v>
      </c>
      <c r="H132" s="4" t="s">
        <v>152</v>
      </c>
      <c r="I132" s="12" t="n">
        <f aca="false">D132*E132*F132/1000000</f>
        <v>0.1579008</v>
      </c>
      <c r="J132" s="4" t="s">
        <v>189</v>
      </c>
      <c r="K132" s="4" t="s">
        <v>155</v>
      </c>
    </row>
    <row r="133" customFormat="false" ht="15" hidden="false" customHeight="false" outlineLevel="0" collapsed="false">
      <c r="A133" s="4" t="n">
        <v>129</v>
      </c>
      <c r="B133" s="4" t="s">
        <v>211</v>
      </c>
      <c r="C133" s="4" t="s">
        <v>170</v>
      </c>
      <c r="D133" s="5" t="n">
        <v>1</v>
      </c>
      <c r="E133" s="11" t="n">
        <v>914</v>
      </c>
      <c r="F133" s="11" t="n">
        <v>294</v>
      </c>
      <c r="G133" s="5" t="n">
        <v>18</v>
      </c>
      <c r="H133" s="4" t="s">
        <v>152</v>
      </c>
      <c r="I133" s="12" t="n">
        <f aca="false">D133*E133*F133/1000000</f>
        <v>0.268716</v>
      </c>
      <c r="J133" s="4"/>
      <c r="K133" s="4" t="s">
        <v>182</v>
      </c>
    </row>
    <row r="134" customFormat="false" ht="15" hidden="false" customHeight="false" outlineLevel="0" collapsed="false">
      <c r="A134" s="4" t="n">
        <v>130</v>
      </c>
      <c r="B134" s="4" t="s">
        <v>211</v>
      </c>
      <c r="C134" s="4" t="s">
        <v>172</v>
      </c>
      <c r="D134" s="5" t="n">
        <v>1</v>
      </c>
      <c r="E134" s="11" t="n">
        <v>914</v>
      </c>
      <c r="F134" s="11" t="n">
        <v>294</v>
      </c>
      <c r="G134" s="5" t="n">
        <v>18</v>
      </c>
      <c r="H134" s="4" t="s">
        <v>152</v>
      </c>
      <c r="I134" s="12" t="n">
        <f aca="false">D134*E134*F134/1000000</f>
        <v>0.268716</v>
      </c>
      <c r="J134" s="4" t="s">
        <v>189</v>
      </c>
      <c r="K134" s="4" t="s">
        <v>182</v>
      </c>
    </row>
    <row r="135" customFormat="false" ht="15" hidden="false" customHeight="false" outlineLevel="0" collapsed="false">
      <c r="A135" s="4" t="n">
        <v>131</v>
      </c>
      <c r="B135" s="4" t="s">
        <v>211</v>
      </c>
      <c r="C135" s="4" t="s">
        <v>193</v>
      </c>
      <c r="D135" s="5" t="n">
        <v>1</v>
      </c>
      <c r="E135" s="11" t="n">
        <v>616.8</v>
      </c>
      <c r="F135" s="11" t="n">
        <v>294</v>
      </c>
      <c r="G135" s="5" t="n">
        <v>18</v>
      </c>
      <c r="H135" s="4" t="s">
        <v>152</v>
      </c>
      <c r="I135" s="12" t="n">
        <f aca="false">D135*E135*F135/1000000</f>
        <v>0.1813392</v>
      </c>
      <c r="J135" s="4" t="s">
        <v>189</v>
      </c>
      <c r="K135" s="4" t="s">
        <v>178</v>
      </c>
    </row>
    <row r="136" customFormat="false" ht="15" hidden="false" customHeight="false" outlineLevel="0" collapsed="false">
      <c r="A136" s="4" t="n">
        <v>132</v>
      </c>
      <c r="B136" s="4" t="s">
        <v>105</v>
      </c>
      <c r="C136" s="4" t="s">
        <v>151</v>
      </c>
      <c r="D136" s="5" t="n">
        <v>1</v>
      </c>
      <c r="E136" s="11" t="n">
        <v>914</v>
      </c>
      <c r="F136" s="11" t="n">
        <v>900</v>
      </c>
      <c r="G136" s="5" t="n">
        <v>18</v>
      </c>
      <c r="H136" s="4" t="s">
        <v>152</v>
      </c>
      <c r="I136" s="12" t="n">
        <f aca="false">D136*E136*F136/1000000</f>
        <v>0.8226</v>
      </c>
      <c r="J136" s="4"/>
      <c r="K136" s="4" t="s">
        <v>180</v>
      </c>
    </row>
    <row r="137" customFormat="false" ht="15" hidden="false" customHeight="false" outlineLevel="0" collapsed="false">
      <c r="A137" s="4" t="n">
        <v>133</v>
      </c>
      <c r="B137" s="4" t="s">
        <v>105</v>
      </c>
      <c r="C137" s="4" t="s">
        <v>154</v>
      </c>
      <c r="D137" s="5" t="n">
        <v>1</v>
      </c>
      <c r="E137" s="11" t="n">
        <v>864</v>
      </c>
      <c r="F137" s="11" t="n">
        <v>294</v>
      </c>
      <c r="G137" s="5" t="n">
        <v>18</v>
      </c>
      <c r="H137" s="4" t="s">
        <v>152</v>
      </c>
      <c r="I137" s="12" t="n">
        <f aca="false">D137*E137*F137/1000000</f>
        <v>0.254016</v>
      </c>
      <c r="J137" s="4"/>
      <c r="K137" s="4" t="s">
        <v>175</v>
      </c>
    </row>
    <row r="138" customFormat="false" ht="15" hidden="false" customHeight="false" outlineLevel="0" collapsed="false">
      <c r="A138" s="4" t="n">
        <v>134</v>
      </c>
      <c r="B138" s="4" t="s">
        <v>105</v>
      </c>
      <c r="C138" s="4" t="s">
        <v>176</v>
      </c>
      <c r="D138" s="5" t="n">
        <v>1</v>
      </c>
      <c r="E138" s="11" t="n">
        <v>911</v>
      </c>
      <c r="F138" s="11" t="n">
        <v>447</v>
      </c>
      <c r="G138" s="5" t="n">
        <v>18</v>
      </c>
      <c r="H138" s="4" t="s">
        <v>152</v>
      </c>
      <c r="I138" s="12" t="n">
        <f aca="false">D138*E138*F138/1000000</f>
        <v>0.407217</v>
      </c>
      <c r="J138" s="4"/>
      <c r="K138" s="4" t="s">
        <v>180</v>
      </c>
    </row>
    <row r="139" customFormat="false" ht="15" hidden="false" customHeight="false" outlineLevel="0" collapsed="false">
      <c r="A139" s="4" t="n">
        <v>135</v>
      </c>
      <c r="B139" s="4" t="s">
        <v>105</v>
      </c>
      <c r="C139" s="4" t="s">
        <v>177</v>
      </c>
      <c r="D139" s="5" t="n">
        <v>1</v>
      </c>
      <c r="E139" s="11" t="n">
        <v>911</v>
      </c>
      <c r="F139" s="11" t="n">
        <v>447</v>
      </c>
      <c r="G139" s="5" t="n">
        <v>18</v>
      </c>
      <c r="H139" s="4" t="s">
        <v>152</v>
      </c>
      <c r="I139" s="12" t="n">
        <f aca="false">D139*E139*F139/1000000</f>
        <v>0.407217</v>
      </c>
      <c r="J139" s="4"/>
      <c r="K139" s="4" t="s">
        <v>182</v>
      </c>
    </row>
    <row r="140" customFormat="false" ht="15" hidden="false" customHeight="false" outlineLevel="0" collapsed="false">
      <c r="A140" s="4" t="n">
        <v>136</v>
      </c>
      <c r="B140" s="4" t="s">
        <v>105</v>
      </c>
      <c r="C140" s="4" t="s">
        <v>170</v>
      </c>
      <c r="D140" s="5" t="n">
        <v>1</v>
      </c>
      <c r="E140" s="11" t="n">
        <v>914</v>
      </c>
      <c r="F140" s="11" t="n">
        <v>294</v>
      </c>
      <c r="G140" s="5" t="n">
        <v>18</v>
      </c>
      <c r="H140" s="4" t="s">
        <v>152</v>
      </c>
      <c r="I140" s="12" t="n">
        <f aca="false">D140*E140*F140/1000000</f>
        <v>0.268716</v>
      </c>
      <c r="J140" s="4"/>
      <c r="K140" s="4" t="s">
        <v>178</v>
      </c>
    </row>
    <row r="141" customFormat="false" ht="15" hidden="false" customHeight="false" outlineLevel="0" collapsed="false">
      <c r="A141" s="4" t="n">
        <v>137</v>
      </c>
      <c r="B141" s="4" t="s">
        <v>105</v>
      </c>
      <c r="C141" s="4" t="s">
        <v>172</v>
      </c>
      <c r="D141" s="5" t="n">
        <v>1</v>
      </c>
      <c r="E141" s="11" t="n">
        <v>914</v>
      </c>
      <c r="F141" s="11" t="n">
        <v>294</v>
      </c>
      <c r="G141" s="5" t="n">
        <v>18</v>
      </c>
      <c r="H141" s="4" t="s">
        <v>152</v>
      </c>
      <c r="I141" s="12" t="n">
        <f aca="false">D141*E141*F141/1000000</f>
        <v>0.268716</v>
      </c>
      <c r="J141" s="4"/>
      <c r="K141" s="4" t="s">
        <v>166</v>
      </c>
    </row>
    <row r="142" customFormat="false" ht="15" hidden="false" customHeight="false" outlineLevel="0" collapsed="false">
      <c r="A142" s="4" t="n">
        <v>138</v>
      </c>
      <c r="B142" s="4" t="s">
        <v>105</v>
      </c>
      <c r="C142" s="4" t="s">
        <v>193</v>
      </c>
      <c r="D142" s="5" t="n">
        <v>1</v>
      </c>
      <c r="E142" s="11" t="n">
        <v>864</v>
      </c>
      <c r="F142" s="11" t="n">
        <v>294</v>
      </c>
      <c r="G142" s="5" t="n">
        <v>18</v>
      </c>
      <c r="H142" s="4" t="s">
        <v>152</v>
      </c>
      <c r="I142" s="12" t="n">
        <f aca="false">D142*E142*F142/1000000</f>
        <v>0.254016</v>
      </c>
      <c r="J142" s="4"/>
      <c r="K142" s="4" t="s">
        <v>175</v>
      </c>
    </row>
    <row r="143" customFormat="false" ht="15" hidden="false" customHeight="false" outlineLevel="0" collapsed="false">
      <c r="A143" s="4" t="n">
        <v>139</v>
      </c>
      <c r="B143" s="4" t="s">
        <v>102</v>
      </c>
      <c r="C143" s="4" t="s">
        <v>212</v>
      </c>
      <c r="D143" s="5" t="n">
        <v>1</v>
      </c>
      <c r="E143" s="11" t="n">
        <v>634.8</v>
      </c>
      <c r="F143" s="11" t="n">
        <v>100</v>
      </c>
      <c r="G143" s="5" t="n">
        <v>18</v>
      </c>
      <c r="H143" s="4" t="s">
        <v>152</v>
      </c>
      <c r="I143" s="12" t="n">
        <f aca="false">D143*E143*F143/1000000</f>
        <v>0.06348</v>
      </c>
      <c r="J143" s="4"/>
      <c r="K143" s="4" t="s">
        <v>175</v>
      </c>
    </row>
    <row r="144" customFormat="false" ht="15" hidden="false" customHeight="false" outlineLevel="0" collapsed="false">
      <c r="A144" s="4" t="n">
        <v>140</v>
      </c>
      <c r="B144" s="4" t="s">
        <v>102</v>
      </c>
      <c r="C144" s="4" t="s">
        <v>213</v>
      </c>
      <c r="D144" s="5" t="n">
        <v>1</v>
      </c>
      <c r="E144" s="11" t="n">
        <v>876</v>
      </c>
      <c r="F144" s="11" t="n">
        <v>486</v>
      </c>
      <c r="G144" s="5" t="n">
        <v>18</v>
      </c>
      <c r="H144" s="4" t="s">
        <v>152</v>
      </c>
      <c r="I144" s="12" t="n">
        <f aca="false">D144*E144*F144/1000000</f>
        <v>0.425736</v>
      </c>
      <c r="J144" s="4"/>
      <c r="K144" s="4" t="s">
        <v>178</v>
      </c>
    </row>
    <row r="145" customFormat="false" ht="15" hidden="false" customHeight="false" outlineLevel="0" collapsed="false">
      <c r="A145" s="4" t="n">
        <v>141</v>
      </c>
      <c r="B145" s="4" t="s">
        <v>102</v>
      </c>
      <c r="C145" s="4" t="s">
        <v>214</v>
      </c>
      <c r="D145" s="5" t="n">
        <v>1</v>
      </c>
      <c r="E145" s="11" t="n">
        <v>876</v>
      </c>
      <c r="F145" s="11" t="n">
        <v>610</v>
      </c>
      <c r="G145" s="5" t="n">
        <v>18</v>
      </c>
      <c r="H145" s="4" t="s">
        <v>152</v>
      </c>
      <c r="I145" s="12" t="n">
        <f aca="false">D145*E145*F145/1000000</f>
        <v>0.53436</v>
      </c>
      <c r="J145" s="4"/>
      <c r="K145" s="4" t="s">
        <v>175</v>
      </c>
    </row>
    <row r="146" customFormat="false" ht="15" hidden="false" customHeight="false" outlineLevel="0" collapsed="false">
      <c r="A146" s="4" t="n">
        <v>142</v>
      </c>
      <c r="B146" s="4" t="s">
        <v>102</v>
      </c>
      <c r="C146" s="4" t="s">
        <v>215</v>
      </c>
      <c r="D146" s="5" t="n">
        <v>1</v>
      </c>
      <c r="E146" s="11" t="n">
        <v>634.8</v>
      </c>
      <c r="F146" s="11" t="n">
        <v>100</v>
      </c>
      <c r="G146" s="5" t="n">
        <v>18</v>
      </c>
      <c r="H146" s="4" t="s">
        <v>152</v>
      </c>
      <c r="I146" s="12" t="n">
        <f aca="false">D146*E146*F146/1000000</f>
        <v>0.06348</v>
      </c>
      <c r="J146" s="4"/>
      <c r="K146" s="4" t="s">
        <v>163</v>
      </c>
    </row>
    <row r="147" customFormat="false" ht="15" hidden="false" customHeight="false" outlineLevel="0" collapsed="false">
      <c r="A147" s="4" t="n">
        <v>143</v>
      </c>
      <c r="B147" s="4" t="s">
        <v>87</v>
      </c>
      <c r="C147" s="4" t="s">
        <v>216</v>
      </c>
      <c r="D147" s="5" t="n">
        <v>1</v>
      </c>
      <c r="E147" s="11" t="n">
        <v>400</v>
      </c>
      <c r="F147" s="11" t="n">
        <v>339</v>
      </c>
      <c r="G147" s="5" t="n">
        <v>6</v>
      </c>
      <c r="H147" s="4" t="s">
        <v>217</v>
      </c>
      <c r="I147" s="12" t="n">
        <f aca="false">D147*E147*F147/1000000</f>
        <v>0.1356</v>
      </c>
      <c r="J147" s="4"/>
      <c r="K147" s="4" t="s">
        <v>218</v>
      </c>
    </row>
    <row r="148" customFormat="false" ht="15" hidden="false" customHeight="false" outlineLevel="0" collapsed="false">
      <c r="A148" s="4" t="n">
        <v>144</v>
      </c>
      <c r="B148" s="4" t="s">
        <v>83</v>
      </c>
      <c r="C148" s="4" t="s">
        <v>216</v>
      </c>
      <c r="D148" s="5" t="n">
        <v>1</v>
      </c>
      <c r="E148" s="11" t="n">
        <v>839</v>
      </c>
      <c r="F148" s="11" t="n">
        <v>400</v>
      </c>
      <c r="G148" s="5" t="n">
        <v>6</v>
      </c>
      <c r="H148" s="4" t="s">
        <v>217</v>
      </c>
      <c r="I148" s="12" t="n">
        <f aca="false">D148*E148*F148/1000000</f>
        <v>0.3356</v>
      </c>
      <c r="J148" s="4"/>
      <c r="K148" s="4" t="s">
        <v>218</v>
      </c>
    </row>
    <row r="149" customFormat="false" ht="15" hidden="false" customHeight="false" outlineLevel="0" collapsed="false">
      <c r="A149" s="4" t="n">
        <v>145</v>
      </c>
      <c r="B149" s="4" t="s">
        <v>186</v>
      </c>
      <c r="C149" s="4" t="s">
        <v>216</v>
      </c>
      <c r="D149" s="5" t="n">
        <v>1</v>
      </c>
      <c r="E149" s="11" t="n">
        <v>400</v>
      </c>
      <c r="F149" s="11" t="n">
        <v>389</v>
      </c>
      <c r="G149" s="5" t="n">
        <v>6</v>
      </c>
      <c r="H149" s="4" t="s">
        <v>217</v>
      </c>
      <c r="I149" s="12" t="n">
        <f aca="false">D149*E149*F149/1000000</f>
        <v>0.1556</v>
      </c>
      <c r="J149" s="4"/>
      <c r="K149" s="4" t="s">
        <v>218</v>
      </c>
    </row>
    <row r="150" customFormat="false" ht="15" hidden="false" customHeight="false" outlineLevel="0" collapsed="false">
      <c r="A150" s="4" t="n">
        <v>146</v>
      </c>
      <c r="B150" s="4" t="s">
        <v>119</v>
      </c>
      <c r="C150" s="4" t="s">
        <v>216</v>
      </c>
      <c r="D150" s="5" t="n">
        <v>1</v>
      </c>
      <c r="E150" s="11" t="n">
        <v>689</v>
      </c>
      <c r="F150" s="11" t="n">
        <v>400</v>
      </c>
      <c r="G150" s="5" t="n">
        <v>6</v>
      </c>
      <c r="H150" s="4" t="s">
        <v>217</v>
      </c>
      <c r="I150" s="12" t="n">
        <f aca="false">D150*E150*F150/1000000</f>
        <v>0.2756</v>
      </c>
      <c r="J150" s="4"/>
      <c r="K150" s="4" t="s">
        <v>218</v>
      </c>
    </row>
    <row r="151" customFormat="false" ht="15" hidden="false" customHeight="false" outlineLevel="0" collapsed="false">
      <c r="A151" s="4" t="n">
        <v>147</v>
      </c>
      <c r="B151" s="4" t="s">
        <v>187</v>
      </c>
      <c r="C151" s="4" t="s">
        <v>216</v>
      </c>
      <c r="D151" s="5" t="n">
        <v>1</v>
      </c>
      <c r="E151" s="11" t="n">
        <v>400</v>
      </c>
      <c r="F151" s="11" t="n">
        <v>389</v>
      </c>
      <c r="G151" s="5" t="n">
        <v>6</v>
      </c>
      <c r="H151" s="4" t="s">
        <v>217</v>
      </c>
      <c r="I151" s="12" t="n">
        <f aca="false">D151*E151*F151/1000000</f>
        <v>0.1556</v>
      </c>
      <c r="J151" s="4"/>
      <c r="K151" s="4" t="s">
        <v>218</v>
      </c>
    </row>
    <row r="152" customFormat="false" ht="15" hidden="false" customHeight="false" outlineLevel="0" collapsed="false">
      <c r="A152" s="4" t="n">
        <v>148</v>
      </c>
      <c r="B152" s="4" t="s">
        <v>125</v>
      </c>
      <c r="C152" s="4" t="s">
        <v>38</v>
      </c>
      <c r="D152" s="5" t="n">
        <v>1</v>
      </c>
      <c r="E152" s="11" t="n">
        <v>1726</v>
      </c>
      <c r="F152" s="11" t="n">
        <v>953</v>
      </c>
      <c r="G152" s="5" t="n">
        <v>38</v>
      </c>
      <c r="H152" s="4" t="s">
        <v>219</v>
      </c>
      <c r="I152" s="12" t="n">
        <f aca="false">D152*E152*F152/1000000</f>
        <v>1.644878</v>
      </c>
      <c r="J152" s="4" t="s">
        <v>220</v>
      </c>
      <c r="K152" s="4"/>
    </row>
    <row r="153" customFormat="false" ht="15" hidden="false" customHeight="false" outlineLevel="0" collapsed="false">
      <c r="A153" s="4" t="n">
        <v>149</v>
      </c>
      <c r="B153" s="4" t="s">
        <v>221</v>
      </c>
      <c r="C153" s="4" t="s">
        <v>38</v>
      </c>
      <c r="D153" s="5" t="n">
        <v>1</v>
      </c>
      <c r="E153" s="11" t="n">
        <v>1300</v>
      </c>
      <c r="F153" s="11" t="n">
        <v>635</v>
      </c>
      <c r="G153" s="5" t="n">
        <v>38</v>
      </c>
      <c r="H153" s="4" t="s">
        <v>219</v>
      </c>
      <c r="I153" s="12" t="n">
        <f aca="false">D153*E153*F153/1000000</f>
        <v>0.8255</v>
      </c>
      <c r="J153" s="4" t="s">
        <v>222</v>
      </c>
      <c r="K153" s="4"/>
    </row>
    <row r="154" customFormat="false" ht="15" hidden="false" customHeight="false" outlineLevel="0" collapsed="false">
      <c r="A154" s="4" t="n">
        <v>150</v>
      </c>
      <c r="B154" s="4" t="s">
        <v>102</v>
      </c>
      <c r="C154" s="4" t="s">
        <v>38</v>
      </c>
      <c r="D154" s="5" t="n">
        <v>1</v>
      </c>
      <c r="E154" s="11" t="n">
        <v>670.8</v>
      </c>
      <c r="F154" s="11" t="n">
        <v>635</v>
      </c>
      <c r="G154" s="5" t="n">
        <v>38</v>
      </c>
      <c r="H154" s="4" t="s">
        <v>219</v>
      </c>
      <c r="I154" s="12" t="n">
        <f aca="false">D154*E154*F154/1000000</f>
        <v>0.425958</v>
      </c>
      <c r="J154" s="4" t="s">
        <v>223</v>
      </c>
      <c r="K154" s="4"/>
    </row>
    <row r="155" customFormat="false" ht="15" hidden="false" customHeight="false" outlineLevel="0" collapsed="false">
      <c r="C155" s="13" t="s">
        <v>224</v>
      </c>
      <c r="D155" s="14" t="n">
        <f aca="false">SUM(D5:D154)</f>
        <v>152</v>
      </c>
      <c r="I155" s="15" t="n">
        <f aca="false">SUM(I5:I154)</f>
        <v>36.5191934</v>
      </c>
    </row>
  </sheetData>
  <autoFilter ref="A4:K1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26.85" hidden="false" customHeight="false" outlineLevel="0" collapsed="false">
      <c r="A4" s="3" t="s">
        <v>141</v>
      </c>
      <c r="B4" s="3" t="s">
        <v>142</v>
      </c>
      <c r="C4" s="3" t="s">
        <v>143</v>
      </c>
      <c r="D4" s="3" t="s">
        <v>29</v>
      </c>
      <c r="E4" s="3" t="s">
        <v>227</v>
      </c>
      <c r="F4" s="3" t="s">
        <v>228</v>
      </c>
      <c r="G4" s="3" t="s">
        <v>229</v>
      </c>
      <c r="H4" s="3" t="s">
        <v>22</v>
      </c>
      <c r="I4" s="3" t="s">
        <v>230</v>
      </c>
      <c r="J4" s="3" t="s">
        <v>231</v>
      </c>
    </row>
    <row r="5" customFormat="false" ht="15" hidden="false" customHeight="false" outlineLevel="0" collapsed="false">
      <c r="A5" s="4" t="n">
        <v>3</v>
      </c>
      <c r="B5" s="4" t="s">
        <v>87</v>
      </c>
      <c r="C5" s="4" t="s">
        <v>156</v>
      </c>
      <c r="D5" s="4" t="n">
        <v>1</v>
      </c>
      <c r="E5" s="11" t="n">
        <v>397</v>
      </c>
      <c r="F5" s="11" t="n">
        <v>307.4</v>
      </c>
      <c r="G5" s="4" t="s">
        <v>232</v>
      </c>
      <c r="H5" s="5" t="n">
        <f aca="false">IF(G5="Door",D5*IF(E5&lt;=900,2,IF(E5&lt;=1600,3,4)),0)</f>
        <v>0</v>
      </c>
      <c r="I5" s="5" t="n">
        <f aca="false">IF(G5="Toe-kick drawer",0,D5)</f>
        <v>1</v>
      </c>
      <c r="J5" s="6" t="n">
        <f aca="false">D5*2*(E5+F5)/1000</f>
        <v>1.4088</v>
      </c>
    </row>
    <row r="6" customFormat="false" ht="15" hidden="false" customHeight="false" outlineLevel="0" collapsed="false">
      <c r="A6" s="4" t="n">
        <v>4</v>
      </c>
      <c r="B6" s="4" t="s">
        <v>87</v>
      </c>
      <c r="C6" s="4" t="s">
        <v>158</v>
      </c>
      <c r="D6" s="4" t="n">
        <v>1</v>
      </c>
      <c r="E6" s="11" t="n">
        <v>397</v>
      </c>
      <c r="F6" s="11" t="n">
        <v>268.6</v>
      </c>
      <c r="G6" s="4" t="s">
        <v>232</v>
      </c>
      <c r="H6" s="5" t="n">
        <f aca="false">IF(G6="Door",D6*IF(E6&lt;=900,2,IF(E6&lt;=1600,3,4)),0)</f>
        <v>0</v>
      </c>
      <c r="I6" s="5" t="n">
        <f aca="false">IF(G6="Toe-kick drawer",0,D6)</f>
        <v>1</v>
      </c>
      <c r="J6" s="6" t="n">
        <f aca="false">D6*2*(E6+F6)/1000</f>
        <v>1.3312</v>
      </c>
    </row>
    <row r="7" customFormat="false" ht="15" hidden="false" customHeight="false" outlineLevel="0" collapsed="false">
      <c r="A7" s="4" t="n">
        <v>5</v>
      </c>
      <c r="B7" s="4" t="s">
        <v>87</v>
      </c>
      <c r="C7" s="4" t="s">
        <v>159</v>
      </c>
      <c r="D7" s="4" t="n">
        <v>1</v>
      </c>
      <c r="E7" s="11" t="n">
        <v>397</v>
      </c>
      <c r="F7" s="11" t="n">
        <v>191</v>
      </c>
      <c r="G7" s="4" t="s">
        <v>232</v>
      </c>
      <c r="H7" s="5" t="n">
        <f aca="false">IF(G7="Door",D7*IF(E7&lt;=900,2,IF(E7&lt;=1600,3,4)),0)</f>
        <v>0</v>
      </c>
      <c r="I7" s="5" t="n">
        <f aca="false">IF(G7="Toe-kick drawer",0,D7)</f>
        <v>1</v>
      </c>
      <c r="J7" s="6" t="n">
        <f aca="false">D7*2*(E7+F7)/1000</f>
        <v>1.176</v>
      </c>
    </row>
    <row r="8" customFormat="false" ht="15" hidden="false" customHeight="false" outlineLevel="0" collapsed="false">
      <c r="A8" s="4" t="n">
        <v>7</v>
      </c>
      <c r="B8" s="4" t="s">
        <v>87</v>
      </c>
      <c r="C8" s="4" t="s">
        <v>161</v>
      </c>
      <c r="D8" s="4" t="n">
        <v>1</v>
      </c>
      <c r="E8" s="11" t="n">
        <v>397</v>
      </c>
      <c r="F8" s="11" t="n">
        <v>87</v>
      </c>
      <c r="G8" s="4" t="s">
        <v>233</v>
      </c>
      <c r="H8" s="5" t="n">
        <f aca="false">IF(G8="Door",D8*IF(E8&lt;=900,2,IF(E8&lt;=1600,3,4)),0)</f>
        <v>0</v>
      </c>
      <c r="I8" s="5" t="n">
        <f aca="false">IF(G8="Toe-kick drawer",0,D8)</f>
        <v>0</v>
      </c>
      <c r="J8" s="6" t="n">
        <f aca="false">D8*2*(E8+F8)/1000</f>
        <v>0.968</v>
      </c>
    </row>
    <row r="9" customFormat="false" ht="15" hidden="false" customHeight="false" outlineLevel="0" collapsed="false">
      <c r="A9" s="4" t="n">
        <v>19</v>
      </c>
      <c r="B9" s="4" t="s">
        <v>83</v>
      </c>
      <c r="C9" s="4" t="s">
        <v>176</v>
      </c>
      <c r="D9" s="4" t="n">
        <v>1</v>
      </c>
      <c r="E9" s="11" t="n">
        <v>773</v>
      </c>
      <c r="F9" s="11" t="n">
        <v>447</v>
      </c>
      <c r="G9" s="4" t="s">
        <v>234</v>
      </c>
      <c r="H9" s="5" t="n">
        <f aca="false">IF(G9="Door",D9*IF(E9&lt;=900,2,IF(E9&lt;=1600,3,4)),0)</f>
        <v>2</v>
      </c>
      <c r="I9" s="5" t="n">
        <f aca="false">IF(G9="Toe-kick drawer",0,D9)</f>
        <v>1</v>
      </c>
      <c r="J9" s="6" t="n">
        <f aca="false">D9*2*(E9+F9)/1000</f>
        <v>2.44</v>
      </c>
    </row>
    <row r="10" customFormat="false" ht="15" hidden="false" customHeight="false" outlineLevel="0" collapsed="false">
      <c r="A10" s="4" t="n">
        <v>20</v>
      </c>
      <c r="B10" s="4" t="s">
        <v>83</v>
      </c>
      <c r="C10" s="4" t="s">
        <v>177</v>
      </c>
      <c r="D10" s="4" t="n">
        <v>1</v>
      </c>
      <c r="E10" s="11" t="n">
        <v>773</v>
      </c>
      <c r="F10" s="11" t="n">
        <v>447</v>
      </c>
      <c r="G10" s="4" t="s">
        <v>234</v>
      </c>
      <c r="H10" s="5" t="n">
        <f aca="false">IF(G10="Door",D10*IF(E10&lt;=900,2,IF(E10&lt;=1600,3,4)),0)</f>
        <v>2</v>
      </c>
      <c r="I10" s="5" t="n">
        <f aca="false">IF(G10="Toe-kick drawer",0,D10)</f>
        <v>1</v>
      </c>
      <c r="J10" s="6" t="n">
        <f aca="false">D10*2*(E10+F10)/1000</f>
        <v>2.44</v>
      </c>
    </row>
    <row r="11" customFormat="false" ht="15" hidden="false" customHeight="false" outlineLevel="0" collapsed="false">
      <c r="A11" s="4" t="n">
        <v>22</v>
      </c>
      <c r="B11" s="4" t="s">
        <v>83</v>
      </c>
      <c r="C11" s="4" t="s">
        <v>161</v>
      </c>
      <c r="D11" s="4" t="n">
        <v>1</v>
      </c>
      <c r="E11" s="11" t="n">
        <v>897</v>
      </c>
      <c r="F11" s="11" t="n">
        <v>87</v>
      </c>
      <c r="G11" s="4" t="s">
        <v>233</v>
      </c>
      <c r="H11" s="5" t="n">
        <f aca="false">IF(G11="Door",D11*IF(E11&lt;=900,2,IF(E11&lt;=1600,3,4)),0)</f>
        <v>0</v>
      </c>
      <c r="I11" s="5" t="n">
        <f aca="false">IF(G11="Toe-kick drawer",0,D11)</f>
        <v>0</v>
      </c>
      <c r="J11" s="6" t="n">
        <f aca="false">D11*2*(E11+F11)/1000</f>
        <v>1.968</v>
      </c>
    </row>
    <row r="12" customFormat="false" ht="15" hidden="false" customHeight="false" outlineLevel="0" collapsed="false">
      <c r="A12" s="4" t="n">
        <v>38</v>
      </c>
      <c r="B12" s="4" t="s">
        <v>186</v>
      </c>
      <c r="C12" s="4" t="s">
        <v>156</v>
      </c>
      <c r="D12" s="4" t="n">
        <v>1</v>
      </c>
      <c r="E12" s="11" t="n">
        <v>447</v>
      </c>
      <c r="F12" s="11" t="n">
        <v>307.4</v>
      </c>
      <c r="G12" s="4" t="s">
        <v>232</v>
      </c>
      <c r="H12" s="5" t="n">
        <f aca="false">IF(G12="Door",D12*IF(E12&lt;=900,2,IF(E12&lt;=1600,3,4)),0)</f>
        <v>0</v>
      </c>
      <c r="I12" s="5" t="n">
        <f aca="false">IF(G12="Toe-kick drawer",0,D12)</f>
        <v>1</v>
      </c>
      <c r="J12" s="6" t="n">
        <f aca="false">D12*2*(E12+F12)/1000</f>
        <v>1.5088</v>
      </c>
    </row>
    <row r="13" customFormat="false" ht="15" hidden="false" customHeight="false" outlineLevel="0" collapsed="false">
      <c r="A13" s="4" t="n">
        <v>39</v>
      </c>
      <c r="B13" s="4" t="s">
        <v>186</v>
      </c>
      <c r="C13" s="4" t="s">
        <v>158</v>
      </c>
      <c r="D13" s="4" t="n">
        <v>1</v>
      </c>
      <c r="E13" s="11" t="n">
        <v>447</v>
      </c>
      <c r="F13" s="11" t="n">
        <v>268.6</v>
      </c>
      <c r="G13" s="4" t="s">
        <v>232</v>
      </c>
      <c r="H13" s="5" t="n">
        <f aca="false">IF(G13="Door",D13*IF(E13&lt;=900,2,IF(E13&lt;=1600,3,4)),0)</f>
        <v>0</v>
      </c>
      <c r="I13" s="5" t="n">
        <f aca="false">IF(G13="Toe-kick drawer",0,D13)</f>
        <v>1</v>
      </c>
      <c r="J13" s="6" t="n">
        <f aca="false">D13*2*(E13+F13)/1000</f>
        <v>1.4312</v>
      </c>
    </row>
    <row r="14" customFormat="false" ht="15" hidden="false" customHeight="false" outlineLevel="0" collapsed="false">
      <c r="A14" s="4" t="n">
        <v>40</v>
      </c>
      <c r="B14" s="4" t="s">
        <v>186</v>
      </c>
      <c r="C14" s="4" t="s">
        <v>159</v>
      </c>
      <c r="D14" s="4" t="n">
        <v>1</v>
      </c>
      <c r="E14" s="11" t="n">
        <v>447</v>
      </c>
      <c r="F14" s="11" t="n">
        <v>191</v>
      </c>
      <c r="G14" s="4" t="s">
        <v>232</v>
      </c>
      <c r="H14" s="5" t="n">
        <f aca="false">IF(G14="Door",D14*IF(E14&lt;=900,2,IF(E14&lt;=1600,3,4)),0)</f>
        <v>0</v>
      </c>
      <c r="I14" s="5" t="n">
        <f aca="false">IF(G14="Toe-kick drawer",0,D14)</f>
        <v>1</v>
      </c>
      <c r="J14" s="6" t="n">
        <f aca="false">D14*2*(E14+F14)/1000</f>
        <v>1.276</v>
      </c>
    </row>
    <row r="15" customFormat="false" ht="15" hidden="false" customHeight="false" outlineLevel="0" collapsed="false">
      <c r="A15" s="4" t="n">
        <v>42</v>
      </c>
      <c r="B15" s="4" t="s">
        <v>186</v>
      </c>
      <c r="C15" s="4" t="s">
        <v>161</v>
      </c>
      <c r="D15" s="4" t="n">
        <v>1</v>
      </c>
      <c r="E15" s="11" t="n">
        <v>447</v>
      </c>
      <c r="F15" s="11" t="n">
        <v>87</v>
      </c>
      <c r="G15" s="4" t="s">
        <v>233</v>
      </c>
      <c r="H15" s="5" t="n">
        <f aca="false">IF(G15="Door",D15*IF(E15&lt;=900,2,IF(E15&lt;=1600,3,4)),0)</f>
        <v>0</v>
      </c>
      <c r="I15" s="5" t="n">
        <f aca="false">IF(G15="Toe-kick drawer",0,D15)</f>
        <v>0</v>
      </c>
      <c r="J15" s="6" t="n">
        <f aca="false">D15*2*(E15+F15)/1000</f>
        <v>1.068</v>
      </c>
    </row>
    <row r="16" customFormat="false" ht="15" hidden="false" customHeight="false" outlineLevel="0" collapsed="false">
      <c r="A16" s="4" t="n">
        <v>55</v>
      </c>
      <c r="B16" s="4" t="s">
        <v>119</v>
      </c>
      <c r="C16" s="4" t="s">
        <v>156</v>
      </c>
      <c r="D16" s="4" t="n">
        <v>1</v>
      </c>
      <c r="E16" s="11" t="n">
        <v>747</v>
      </c>
      <c r="F16" s="11" t="n">
        <v>325</v>
      </c>
      <c r="G16" s="4" t="s">
        <v>232</v>
      </c>
      <c r="H16" s="5" t="n">
        <f aca="false">IF(G16="Door",D16*IF(E16&lt;=900,2,IF(E16&lt;=1600,3,4)),0)</f>
        <v>0</v>
      </c>
      <c r="I16" s="5" t="n">
        <f aca="false">IF(G16="Toe-kick drawer",0,D16)</f>
        <v>1</v>
      </c>
      <c r="J16" s="6" t="n">
        <f aca="false">D16*2*(E16+F16)/1000</f>
        <v>2.144</v>
      </c>
    </row>
    <row r="17" customFormat="false" ht="15" hidden="false" customHeight="false" outlineLevel="0" collapsed="false">
      <c r="A17" s="4" t="n">
        <v>56</v>
      </c>
      <c r="B17" s="4" t="s">
        <v>119</v>
      </c>
      <c r="C17" s="4" t="s">
        <v>158</v>
      </c>
      <c r="D17" s="4" t="n">
        <v>1</v>
      </c>
      <c r="E17" s="11" t="n">
        <v>747</v>
      </c>
      <c r="F17" s="11" t="n">
        <v>325</v>
      </c>
      <c r="G17" s="4" t="s">
        <v>232</v>
      </c>
      <c r="H17" s="5" t="n">
        <f aca="false">IF(G17="Door",D17*IF(E17&lt;=900,2,IF(E17&lt;=1600,3,4)),0)</f>
        <v>0</v>
      </c>
      <c r="I17" s="5" t="n">
        <f aca="false">IF(G17="Toe-kick drawer",0,D17)</f>
        <v>1</v>
      </c>
      <c r="J17" s="6" t="n">
        <f aca="false">D17*2*(E17+F17)/1000</f>
        <v>2.144</v>
      </c>
    </row>
    <row r="18" customFormat="false" ht="15" hidden="false" customHeight="false" outlineLevel="0" collapsed="false">
      <c r="A18" s="4" t="n">
        <v>57</v>
      </c>
      <c r="B18" s="4" t="s">
        <v>119</v>
      </c>
      <c r="C18" s="4" t="s">
        <v>159</v>
      </c>
      <c r="D18" s="4" t="n">
        <v>1</v>
      </c>
      <c r="E18" s="11" t="n">
        <v>747</v>
      </c>
      <c r="F18" s="11" t="n">
        <v>117</v>
      </c>
      <c r="G18" s="4" t="s">
        <v>232</v>
      </c>
      <c r="H18" s="5" t="n">
        <f aca="false">IF(G18="Door",D18*IF(E18&lt;=900,2,IF(E18&lt;=1600,3,4)),0)</f>
        <v>0</v>
      </c>
      <c r="I18" s="5" t="n">
        <f aca="false">IF(G18="Toe-kick drawer",0,D18)</f>
        <v>1</v>
      </c>
      <c r="J18" s="6" t="n">
        <f aca="false">D18*2*(E18+F18)/1000</f>
        <v>1.728</v>
      </c>
    </row>
    <row r="19" customFormat="false" ht="15" hidden="false" customHeight="false" outlineLevel="0" collapsed="false">
      <c r="A19" s="4" t="n">
        <v>59</v>
      </c>
      <c r="B19" s="4" t="s">
        <v>119</v>
      </c>
      <c r="C19" s="4" t="s">
        <v>161</v>
      </c>
      <c r="D19" s="4" t="n">
        <v>1</v>
      </c>
      <c r="E19" s="11" t="n">
        <v>747</v>
      </c>
      <c r="F19" s="11" t="n">
        <v>87</v>
      </c>
      <c r="G19" s="4" t="s">
        <v>233</v>
      </c>
      <c r="H19" s="5" t="n">
        <f aca="false">IF(G19="Door",D19*IF(E19&lt;=900,2,IF(E19&lt;=1600,3,4)),0)</f>
        <v>0</v>
      </c>
      <c r="I19" s="5" t="n">
        <f aca="false">IF(G19="Toe-kick drawer",0,D19)</f>
        <v>0</v>
      </c>
      <c r="J19" s="6" t="n">
        <f aca="false">D19*2*(E19+F19)/1000</f>
        <v>1.668</v>
      </c>
    </row>
    <row r="20" customFormat="false" ht="15" hidden="false" customHeight="false" outlineLevel="0" collapsed="false">
      <c r="A20" s="4" t="n">
        <v>72</v>
      </c>
      <c r="B20" s="4" t="s">
        <v>187</v>
      </c>
      <c r="C20" s="4" t="s">
        <v>156</v>
      </c>
      <c r="D20" s="4" t="n">
        <v>1</v>
      </c>
      <c r="E20" s="11" t="n">
        <v>447</v>
      </c>
      <c r="F20" s="11" t="n">
        <v>307.4</v>
      </c>
      <c r="G20" s="4" t="s">
        <v>232</v>
      </c>
      <c r="H20" s="5" t="n">
        <f aca="false">IF(G20="Door",D20*IF(E20&lt;=900,2,IF(E20&lt;=1600,3,4)),0)</f>
        <v>0</v>
      </c>
      <c r="I20" s="5" t="n">
        <f aca="false">IF(G20="Toe-kick drawer",0,D20)</f>
        <v>1</v>
      </c>
      <c r="J20" s="6" t="n">
        <f aca="false">D20*2*(E20+F20)/1000</f>
        <v>1.5088</v>
      </c>
    </row>
    <row r="21" customFormat="false" ht="15" hidden="false" customHeight="false" outlineLevel="0" collapsed="false">
      <c r="A21" s="4" t="n">
        <v>73</v>
      </c>
      <c r="B21" s="4" t="s">
        <v>187</v>
      </c>
      <c r="C21" s="4" t="s">
        <v>158</v>
      </c>
      <c r="D21" s="4" t="n">
        <v>1</v>
      </c>
      <c r="E21" s="11" t="n">
        <v>447</v>
      </c>
      <c r="F21" s="11" t="n">
        <v>268.6</v>
      </c>
      <c r="G21" s="4" t="s">
        <v>232</v>
      </c>
      <c r="H21" s="5" t="n">
        <f aca="false">IF(G21="Door",D21*IF(E21&lt;=900,2,IF(E21&lt;=1600,3,4)),0)</f>
        <v>0</v>
      </c>
      <c r="I21" s="5" t="n">
        <f aca="false">IF(G21="Toe-kick drawer",0,D21)</f>
        <v>1</v>
      </c>
      <c r="J21" s="6" t="n">
        <f aca="false">D21*2*(E21+F21)/1000</f>
        <v>1.4312</v>
      </c>
    </row>
    <row r="22" customFormat="false" ht="15" hidden="false" customHeight="false" outlineLevel="0" collapsed="false">
      <c r="A22" s="4" t="n">
        <v>74</v>
      </c>
      <c r="B22" s="4" t="s">
        <v>187</v>
      </c>
      <c r="C22" s="4" t="s">
        <v>159</v>
      </c>
      <c r="D22" s="4" t="n">
        <v>1</v>
      </c>
      <c r="E22" s="11" t="n">
        <v>447</v>
      </c>
      <c r="F22" s="11" t="n">
        <v>191</v>
      </c>
      <c r="G22" s="4" t="s">
        <v>232</v>
      </c>
      <c r="H22" s="5" t="n">
        <f aca="false">IF(G22="Door",D22*IF(E22&lt;=900,2,IF(E22&lt;=1600,3,4)),0)</f>
        <v>0</v>
      </c>
      <c r="I22" s="5" t="n">
        <f aca="false">IF(G22="Toe-kick drawer",0,D22)</f>
        <v>1</v>
      </c>
      <c r="J22" s="6" t="n">
        <f aca="false">D22*2*(E22+F22)/1000</f>
        <v>1.276</v>
      </c>
    </row>
    <row r="23" customFormat="false" ht="15" hidden="false" customHeight="false" outlineLevel="0" collapsed="false">
      <c r="A23" s="4" t="n">
        <v>76</v>
      </c>
      <c r="B23" s="4" t="s">
        <v>187</v>
      </c>
      <c r="C23" s="4" t="s">
        <v>161</v>
      </c>
      <c r="D23" s="4" t="n">
        <v>1</v>
      </c>
      <c r="E23" s="11" t="n">
        <v>447</v>
      </c>
      <c r="F23" s="11" t="n">
        <v>87</v>
      </c>
      <c r="G23" s="4" t="s">
        <v>233</v>
      </c>
      <c r="H23" s="5" t="n">
        <f aca="false">IF(G23="Door",D23*IF(E23&lt;=900,2,IF(E23&lt;=1600,3,4)),0)</f>
        <v>0</v>
      </c>
      <c r="I23" s="5" t="n">
        <f aca="false">IF(G23="Toe-kick drawer",0,D23)</f>
        <v>0</v>
      </c>
      <c r="J23" s="6" t="n">
        <f aca="false">D23*2*(E23+F23)/1000</f>
        <v>1.068</v>
      </c>
    </row>
    <row r="24" customFormat="false" ht="15" hidden="false" customHeight="false" outlineLevel="0" collapsed="false">
      <c r="A24" s="4" t="n">
        <v>89</v>
      </c>
      <c r="B24" s="4" t="s">
        <v>188</v>
      </c>
      <c r="C24" s="4" t="s">
        <v>176</v>
      </c>
      <c r="D24" s="4" t="n">
        <v>1</v>
      </c>
      <c r="E24" s="11" t="n">
        <v>472</v>
      </c>
      <c r="F24" s="11" t="n">
        <v>454</v>
      </c>
      <c r="G24" s="4" t="s">
        <v>234</v>
      </c>
      <c r="H24" s="5" t="n">
        <f aca="false">IF(G24="Door",D24*IF(E24&lt;=900,2,IF(E24&lt;=1600,3,4)),0)</f>
        <v>2</v>
      </c>
      <c r="I24" s="5" t="n">
        <f aca="false">IF(G24="Toe-kick drawer",0,D24)</f>
        <v>1</v>
      </c>
      <c r="J24" s="6" t="n">
        <f aca="false">D24*2*(E24+F24)/1000</f>
        <v>1.852</v>
      </c>
    </row>
    <row r="25" customFormat="false" ht="15" hidden="false" customHeight="false" outlineLevel="0" collapsed="false">
      <c r="A25" s="4" t="n">
        <v>90</v>
      </c>
      <c r="B25" s="4" t="s">
        <v>188</v>
      </c>
      <c r="C25" s="4" t="s">
        <v>177</v>
      </c>
      <c r="D25" s="4" t="n">
        <v>1</v>
      </c>
      <c r="E25" s="11" t="n">
        <v>472</v>
      </c>
      <c r="F25" s="11" t="n">
        <v>454</v>
      </c>
      <c r="G25" s="4" t="s">
        <v>234</v>
      </c>
      <c r="H25" s="5" t="n">
        <f aca="false">IF(G25="Door",D25*IF(E25&lt;=900,2,IF(E25&lt;=1600,3,4)),0)</f>
        <v>2</v>
      </c>
      <c r="I25" s="5" t="n">
        <f aca="false">IF(G25="Toe-kick drawer",0,D25)</f>
        <v>1</v>
      </c>
      <c r="J25" s="6" t="n">
        <f aca="false">D25*2*(E25+F25)/1000</f>
        <v>1.852</v>
      </c>
    </row>
    <row r="26" customFormat="false" ht="15" hidden="false" customHeight="false" outlineLevel="0" collapsed="false">
      <c r="A26" s="4" t="n">
        <v>107</v>
      </c>
      <c r="B26" s="4" t="s">
        <v>208</v>
      </c>
      <c r="C26" s="4" t="s">
        <v>176</v>
      </c>
      <c r="D26" s="4" t="n">
        <v>1</v>
      </c>
      <c r="E26" s="11" t="n">
        <v>911</v>
      </c>
      <c r="F26" s="11" t="n">
        <v>397</v>
      </c>
      <c r="G26" s="4" t="s">
        <v>234</v>
      </c>
      <c r="H26" s="5" t="n">
        <f aca="false">IF(G26="Door",D26*IF(E26&lt;=900,2,IF(E26&lt;=1600,3,4)),0)</f>
        <v>3</v>
      </c>
      <c r="I26" s="5" t="n">
        <f aca="false">IF(G26="Toe-kick drawer",0,D26)</f>
        <v>1</v>
      </c>
      <c r="J26" s="6" t="n">
        <f aca="false">D26*2*(E26+F26)/1000</f>
        <v>2.616</v>
      </c>
    </row>
    <row r="27" customFormat="false" ht="15" hidden="false" customHeight="false" outlineLevel="0" collapsed="false">
      <c r="A27" s="4" t="n">
        <v>115</v>
      </c>
      <c r="B27" s="4" t="s">
        <v>96</v>
      </c>
      <c r="C27" s="4" t="s">
        <v>176</v>
      </c>
      <c r="D27" s="4" t="n">
        <v>1</v>
      </c>
      <c r="E27" s="11" t="n">
        <v>669</v>
      </c>
      <c r="F27" s="11" t="n">
        <v>617</v>
      </c>
      <c r="G27" s="4" t="s">
        <v>234</v>
      </c>
      <c r="H27" s="5" t="n">
        <f aca="false">IF(G27="Door",D27*IF(E27&lt;=900,2,IF(E27&lt;=1600,3,4)),0)</f>
        <v>2</v>
      </c>
      <c r="I27" s="5" t="n">
        <f aca="false">IF(G27="Toe-kick drawer",0,D27)</f>
        <v>1</v>
      </c>
      <c r="J27" s="6" t="n">
        <f aca="false">D27*2*(E27+F27)/1000</f>
        <v>2.572</v>
      </c>
    </row>
    <row r="28" customFormat="false" ht="15" hidden="false" customHeight="false" outlineLevel="0" collapsed="false">
      <c r="A28" s="4" t="n">
        <v>123</v>
      </c>
      <c r="B28" s="4" t="s">
        <v>211</v>
      </c>
      <c r="C28" s="4" t="s">
        <v>176</v>
      </c>
      <c r="D28" s="4" t="n">
        <v>1</v>
      </c>
      <c r="E28" s="11" t="n">
        <v>911</v>
      </c>
      <c r="F28" s="11" t="n">
        <v>323.4</v>
      </c>
      <c r="G28" s="4" t="s">
        <v>234</v>
      </c>
      <c r="H28" s="5" t="n">
        <f aca="false">IF(G28="Door",D28*IF(E28&lt;=900,2,IF(E28&lt;=1600,3,4)),0)</f>
        <v>3</v>
      </c>
      <c r="I28" s="5" t="n">
        <f aca="false">IF(G28="Toe-kick drawer",0,D28)</f>
        <v>1</v>
      </c>
      <c r="J28" s="6" t="n">
        <f aca="false">D28*2*(E28+F28)/1000</f>
        <v>2.4688</v>
      </c>
    </row>
    <row r="29" customFormat="false" ht="15" hidden="false" customHeight="false" outlineLevel="0" collapsed="false">
      <c r="A29" s="4" t="n">
        <v>124</v>
      </c>
      <c r="B29" s="4" t="s">
        <v>211</v>
      </c>
      <c r="C29" s="4" t="s">
        <v>177</v>
      </c>
      <c r="D29" s="4" t="n">
        <v>1</v>
      </c>
      <c r="E29" s="11" t="n">
        <v>911</v>
      </c>
      <c r="F29" s="11" t="n">
        <v>323.4</v>
      </c>
      <c r="G29" s="4" t="s">
        <v>234</v>
      </c>
      <c r="H29" s="5" t="n">
        <f aca="false">IF(G29="Door",D29*IF(E29&lt;=900,2,IF(E29&lt;=1600,3,4)),0)</f>
        <v>3</v>
      </c>
      <c r="I29" s="5" t="n">
        <f aca="false">IF(G29="Toe-kick drawer",0,D29)</f>
        <v>1</v>
      </c>
      <c r="J29" s="6" t="n">
        <f aca="false">D29*2*(E29+F29)/1000</f>
        <v>2.4688</v>
      </c>
    </row>
    <row r="30" customFormat="false" ht="15" hidden="false" customHeight="false" outlineLevel="0" collapsed="false">
      <c r="A30" s="4" t="n">
        <v>134</v>
      </c>
      <c r="B30" s="4" t="s">
        <v>105</v>
      </c>
      <c r="C30" s="4" t="s">
        <v>176</v>
      </c>
      <c r="D30" s="4" t="n">
        <v>1</v>
      </c>
      <c r="E30" s="11" t="n">
        <v>911</v>
      </c>
      <c r="F30" s="11" t="n">
        <v>447</v>
      </c>
      <c r="G30" s="4" t="s">
        <v>234</v>
      </c>
      <c r="H30" s="5" t="n">
        <f aca="false">IF(G30="Door",D30*IF(E30&lt;=900,2,IF(E30&lt;=1600,3,4)),0)</f>
        <v>3</v>
      </c>
      <c r="I30" s="5" t="n">
        <f aca="false">IF(G30="Toe-kick drawer",0,D30)</f>
        <v>1</v>
      </c>
      <c r="J30" s="6" t="n">
        <f aca="false">D30*2*(E30+F30)/1000</f>
        <v>2.716</v>
      </c>
    </row>
    <row r="31" customFormat="false" ht="15" hidden="false" customHeight="false" outlineLevel="0" collapsed="false">
      <c r="A31" s="4" t="n">
        <v>135</v>
      </c>
      <c r="B31" s="4" t="s">
        <v>105</v>
      </c>
      <c r="C31" s="4" t="s">
        <v>177</v>
      </c>
      <c r="D31" s="4" t="n">
        <v>1</v>
      </c>
      <c r="E31" s="11" t="n">
        <v>911</v>
      </c>
      <c r="F31" s="11" t="n">
        <v>447</v>
      </c>
      <c r="G31" s="4" t="s">
        <v>234</v>
      </c>
      <c r="H31" s="5" t="n">
        <f aca="false">IF(G31="Door",D31*IF(E31&lt;=900,2,IF(E31&lt;=1600,3,4)),0)</f>
        <v>3</v>
      </c>
      <c r="I31" s="5" t="n">
        <f aca="false">IF(G31="Toe-kick drawer",0,D31)</f>
        <v>1</v>
      </c>
      <c r="J31" s="6" t="n">
        <f aca="false">D31*2*(E31+F31)/1000</f>
        <v>2.716</v>
      </c>
    </row>
    <row r="32" customFormat="false" ht="15" hidden="false" customHeight="false" outlineLevel="0" collapsed="false">
      <c r="C32" s="13" t="s">
        <v>235</v>
      </c>
      <c r="D32" s="14" t="n">
        <f aca="false">SUM(D5:D31)</f>
        <v>27</v>
      </c>
      <c r="H32" s="14" t="n">
        <f aca="false">SUM(H5:H31)</f>
        <v>25</v>
      </c>
      <c r="I32" s="14" t="n">
        <f aca="false">SUM(I5:I31)</f>
        <v>22</v>
      </c>
      <c r="J32" s="15" t="n">
        <f aca="false">SUM(J5:J31)</f>
        <v>49.2456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7" min="6" style="0" width="8"/>
    <col collapsed="false" customWidth="true" hidden="false" outlineLevel="0" max="9" min="8" style="0" width="11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3" t="s">
        <v>238</v>
      </c>
      <c r="B4" s="3" t="s">
        <v>147</v>
      </c>
      <c r="C4" s="3" t="s">
        <v>141</v>
      </c>
      <c r="D4" s="3" t="s">
        <v>142</v>
      </c>
      <c r="E4" s="3" t="s">
        <v>143</v>
      </c>
      <c r="F4" s="3" t="s">
        <v>239</v>
      </c>
      <c r="G4" s="3" t="s">
        <v>240</v>
      </c>
      <c r="H4" s="3" t="s">
        <v>241</v>
      </c>
      <c r="I4" s="3" t="s">
        <v>242</v>
      </c>
      <c r="J4" s="3" t="s">
        <v>243</v>
      </c>
    </row>
    <row r="5" customFormat="false" ht="15" hidden="false" customHeight="false" outlineLevel="0" collapsed="false">
      <c r="A5" s="4" t="s">
        <v>166</v>
      </c>
      <c r="B5" s="4" t="s">
        <v>152</v>
      </c>
      <c r="C5" s="4" t="n">
        <v>97</v>
      </c>
      <c r="D5" s="4" t="s">
        <v>194</v>
      </c>
      <c r="E5" s="4" t="s">
        <v>195</v>
      </c>
      <c r="F5" s="4" t="n">
        <v>5</v>
      </c>
      <c r="G5" s="4" t="n">
        <v>5</v>
      </c>
      <c r="H5" s="4" t="n">
        <v>2286</v>
      </c>
      <c r="I5" s="4" t="n">
        <v>784</v>
      </c>
      <c r="J5" s="4"/>
    </row>
    <row r="6" customFormat="false" ht="15" hidden="false" customHeight="false" outlineLevel="0" collapsed="false">
      <c r="A6" s="4" t="s">
        <v>166</v>
      </c>
      <c r="B6" s="4" t="s">
        <v>152</v>
      </c>
      <c r="C6" s="4" t="n">
        <v>63</v>
      </c>
      <c r="D6" s="4" t="s">
        <v>119</v>
      </c>
      <c r="E6" s="4" t="s">
        <v>167</v>
      </c>
      <c r="F6" s="4" t="n">
        <v>2295</v>
      </c>
      <c r="G6" s="4" t="n">
        <v>5</v>
      </c>
      <c r="H6" s="4" t="n">
        <v>100</v>
      </c>
      <c r="I6" s="4" t="n">
        <v>750</v>
      </c>
      <c r="J6" s="4" t="s">
        <v>244</v>
      </c>
    </row>
    <row r="7" customFormat="false" ht="15" hidden="false" customHeight="false" outlineLevel="0" collapsed="false">
      <c r="A7" s="4" t="s">
        <v>166</v>
      </c>
      <c r="B7" s="4" t="s">
        <v>152</v>
      </c>
      <c r="C7" s="4" t="n">
        <v>98</v>
      </c>
      <c r="D7" s="4" t="s">
        <v>194</v>
      </c>
      <c r="E7" s="4" t="s">
        <v>196</v>
      </c>
      <c r="F7" s="4" t="n">
        <v>5</v>
      </c>
      <c r="G7" s="4" t="n">
        <v>793</v>
      </c>
      <c r="H7" s="4" t="n">
        <v>2286</v>
      </c>
      <c r="I7" s="4" t="n">
        <v>30</v>
      </c>
      <c r="J7" s="4"/>
    </row>
    <row r="8" customFormat="false" ht="15" hidden="false" customHeight="false" outlineLevel="0" collapsed="false">
      <c r="A8" s="4" t="s">
        <v>166</v>
      </c>
      <c r="B8" s="4" t="s">
        <v>152</v>
      </c>
      <c r="C8" s="4" t="n">
        <v>101</v>
      </c>
      <c r="D8" s="4" t="s">
        <v>198</v>
      </c>
      <c r="E8" s="4" t="s">
        <v>200</v>
      </c>
      <c r="F8" s="4" t="n">
        <v>5</v>
      </c>
      <c r="G8" s="4" t="n">
        <v>827</v>
      </c>
      <c r="H8" s="4" t="n">
        <v>1938</v>
      </c>
      <c r="I8" s="4" t="n">
        <v>50.8</v>
      </c>
      <c r="J8" s="4"/>
    </row>
    <row r="9" customFormat="false" ht="15" hidden="false" customHeight="false" outlineLevel="0" collapsed="false">
      <c r="A9" s="4" t="s">
        <v>166</v>
      </c>
      <c r="B9" s="4" t="s">
        <v>152</v>
      </c>
      <c r="C9" s="4" t="n">
        <v>65</v>
      </c>
      <c r="D9" s="4" t="s">
        <v>119</v>
      </c>
      <c r="E9" s="4" t="s">
        <v>169</v>
      </c>
      <c r="F9" s="4" t="n">
        <v>1947</v>
      </c>
      <c r="G9" s="4" t="n">
        <v>827</v>
      </c>
      <c r="H9" s="4" t="n">
        <v>454</v>
      </c>
      <c r="I9" s="4" t="n">
        <v>100</v>
      </c>
      <c r="J9" s="4"/>
    </row>
    <row r="10" customFormat="false" ht="15" hidden="false" customHeight="false" outlineLevel="0" collapsed="false">
      <c r="A10" s="4" t="s">
        <v>166</v>
      </c>
      <c r="B10" s="4" t="s">
        <v>152</v>
      </c>
      <c r="C10" s="4" t="n">
        <v>137</v>
      </c>
      <c r="D10" s="4" t="s">
        <v>105</v>
      </c>
      <c r="E10" s="4" t="s">
        <v>172</v>
      </c>
      <c r="F10" s="4" t="n">
        <v>5</v>
      </c>
      <c r="G10" s="4" t="n">
        <v>882</v>
      </c>
      <c r="H10" s="4" t="n">
        <v>914</v>
      </c>
      <c r="I10" s="4" t="n">
        <v>294</v>
      </c>
      <c r="J10" s="4"/>
    </row>
    <row r="11" customFormat="false" ht="15" hidden="false" customHeight="false" outlineLevel="0" collapsed="false">
      <c r="A11" s="4" t="s">
        <v>166</v>
      </c>
      <c r="B11" s="4" t="s">
        <v>152</v>
      </c>
      <c r="C11" s="4" t="n">
        <v>123</v>
      </c>
      <c r="D11" s="4" t="s">
        <v>211</v>
      </c>
      <c r="E11" s="4" t="s">
        <v>176</v>
      </c>
      <c r="F11" s="4" t="n">
        <v>923</v>
      </c>
      <c r="G11" s="4" t="n">
        <v>882</v>
      </c>
      <c r="H11" s="4" t="n">
        <v>911</v>
      </c>
      <c r="I11" s="4" t="n">
        <v>323.4</v>
      </c>
      <c r="J11" s="4"/>
    </row>
    <row r="12" customFormat="false" ht="15" hidden="false" customHeight="false" outlineLevel="0" collapsed="false">
      <c r="A12" s="4" t="s">
        <v>166</v>
      </c>
      <c r="B12" s="4" t="s">
        <v>152</v>
      </c>
      <c r="C12" s="4" t="n">
        <v>81</v>
      </c>
      <c r="D12" s="4" t="s">
        <v>187</v>
      </c>
      <c r="E12" s="4" t="s">
        <v>168</v>
      </c>
      <c r="F12" s="4" t="n">
        <v>1947</v>
      </c>
      <c r="G12" s="4" t="n">
        <v>931</v>
      </c>
      <c r="H12" s="4" t="n">
        <v>454</v>
      </c>
      <c r="I12" s="4" t="n">
        <v>100</v>
      </c>
      <c r="J12" s="4"/>
    </row>
    <row r="13" customFormat="false" ht="15" hidden="false" customHeight="false" outlineLevel="0" collapsed="false">
      <c r="A13" s="4" t="s">
        <v>166</v>
      </c>
      <c r="B13" s="4" t="s">
        <v>152</v>
      </c>
      <c r="C13" s="4" t="n">
        <v>82</v>
      </c>
      <c r="D13" s="4" t="s">
        <v>187</v>
      </c>
      <c r="E13" s="4" t="s">
        <v>169</v>
      </c>
      <c r="F13" s="4" t="n">
        <v>1947</v>
      </c>
      <c r="G13" s="4" t="n">
        <v>1035</v>
      </c>
      <c r="H13" s="4" t="n">
        <v>454</v>
      </c>
      <c r="I13" s="4" t="n">
        <v>100</v>
      </c>
      <c r="J13" s="4"/>
    </row>
    <row r="14" customFormat="false" ht="15" hidden="false" customHeight="false" outlineLevel="0" collapsed="false">
      <c r="A14" s="4" t="s">
        <v>166</v>
      </c>
      <c r="B14" s="4" t="s">
        <v>152</v>
      </c>
      <c r="C14" s="4" t="n">
        <v>10</v>
      </c>
      <c r="D14" s="4" t="s">
        <v>87</v>
      </c>
      <c r="E14" s="4" t="s">
        <v>165</v>
      </c>
      <c r="F14" s="4" t="n">
        <v>1947</v>
      </c>
      <c r="G14" s="4" t="n">
        <v>1139</v>
      </c>
      <c r="H14" s="4" t="n">
        <v>400</v>
      </c>
      <c r="I14" s="4" t="n">
        <v>73</v>
      </c>
      <c r="J14" s="4"/>
    </row>
    <row r="15" customFormat="false" ht="15" hidden="false" customHeight="false" outlineLevel="0" collapsed="false">
      <c r="A15" s="4" t="s">
        <v>179</v>
      </c>
      <c r="B15" s="4" t="s">
        <v>152</v>
      </c>
      <c r="C15" s="4" t="n">
        <v>99</v>
      </c>
      <c r="D15" s="4" t="s">
        <v>194</v>
      </c>
      <c r="E15" s="4" t="s">
        <v>197</v>
      </c>
      <c r="F15" s="4" t="n">
        <v>5</v>
      </c>
      <c r="G15" s="4" t="n">
        <v>5</v>
      </c>
      <c r="H15" s="4" t="n">
        <v>2286</v>
      </c>
      <c r="I15" s="4" t="n">
        <v>784</v>
      </c>
      <c r="J15" s="4"/>
    </row>
    <row r="16" customFormat="false" ht="15" hidden="false" customHeight="false" outlineLevel="0" collapsed="false">
      <c r="A16" s="4" t="s">
        <v>179</v>
      </c>
      <c r="B16" s="4" t="s">
        <v>152</v>
      </c>
      <c r="C16" s="4" t="n">
        <v>57</v>
      </c>
      <c r="D16" s="4" t="s">
        <v>119</v>
      </c>
      <c r="E16" s="4" t="s">
        <v>159</v>
      </c>
      <c r="F16" s="4" t="n">
        <v>2295</v>
      </c>
      <c r="G16" s="4" t="n">
        <v>5</v>
      </c>
      <c r="H16" s="4" t="n">
        <v>117</v>
      </c>
      <c r="I16" s="4" t="n">
        <v>747</v>
      </c>
      <c r="J16" s="4" t="s">
        <v>244</v>
      </c>
    </row>
    <row r="17" customFormat="false" ht="15" hidden="false" customHeight="false" outlineLevel="0" collapsed="false">
      <c r="A17" s="4" t="s">
        <v>179</v>
      </c>
      <c r="B17" s="4" t="s">
        <v>152</v>
      </c>
      <c r="C17" s="4" t="n">
        <v>107</v>
      </c>
      <c r="D17" s="4" t="s">
        <v>208</v>
      </c>
      <c r="E17" s="4" t="s">
        <v>176</v>
      </c>
      <c r="F17" s="4" t="n">
        <v>5</v>
      </c>
      <c r="G17" s="4" t="n">
        <v>793</v>
      </c>
      <c r="H17" s="4" t="n">
        <v>911</v>
      </c>
      <c r="I17" s="4" t="n">
        <v>397</v>
      </c>
      <c r="J17" s="4"/>
    </row>
    <row r="18" customFormat="false" ht="15" hidden="false" customHeight="false" outlineLevel="0" collapsed="false">
      <c r="A18" s="4" t="s">
        <v>179</v>
      </c>
      <c r="B18" s="4" t="s">
        <v>152</v>
      </c>
      <c r="C18" s="4" t="n">
        <v>124</v>
      </c>
      <c r="D18" s="4" t="s">
        <v>211</v>
      </c>
      <c r="E18" s="4" t="s">
        <v>177</v>
      </c>
      <c r="F18" s="4" t="n">
        <v>920</v>
      </c>
      <c r="G18" s="4" t="n">
        <v>793</v>
      </c>
      <c r="H18" s="4" t="n">
        <v>911</v>
      </c>
      <c r="I18" s="4" t="n">
        <v>323.4</v>
      </c>
      <c r="J18" s="4"/>
    </row>
    <row r="19" customFormat="false" ht="15" hidden="false" customHeight="false" outlineLevel="0" collapsed="false">
      <c r="A19" s="4" t="s">
        <v>179</v>
      </c>
      <c r="B19" s="4" t="s">
        <v>152</v>
      </c>
      <c r="C19" s="4" t="n">
        <v>117</v>
      </c>
      <c r="D19" s="4" t="s">
        <v>96</v>
      </c>
      <c r="E19" s="4" t="s">
        <v>209</v>
      </c>
      <c r="F19" s="4" t="n">
        <v>1835</v>
      </c>
      <c r="G19" s="4" t="n">
        <v>793</v>
      </c>
      <c r="H19" s="4" t="n">
        <v>584</v>
      </c>
      <c r="I19" s="4" t="n">
        <v>224</v>
      </c>
      <c r="J19" s="4"/>
    </row>
    <row r="20" customFormat="false" ht="15" hidden="false" customHeight="false" outlineLevel="0" collapsed="false">
      <c r="A20" s="4" t="s">
        <v>179</v>
      </c>
      <c r="B20" s="4" t="s">
        <v>152</v>
      </c>
      <c r="C20" s="4" t="n">
        <v>27</v>
      </c>
      <c r="D20" s="4" t="s">
        <v>83</v>
      </c>
      <c r="E20" s="4" t="s">
        <v>168</v>
      </c>
      <c r="F20" s="4" t="n">
        <v>1835</v>
      </c>
      <c r="G20" s="4" t="n">
        <v>1021</v>
      </c>
      <c r="H20" s="4" t="n">
        <v>454</v>
      </c>
      <c r="I20" s="4" t="n">
        <v>100</v>
      </c>
      <c r="J20" s="4"/>
    </row>
    <row r="21" customFormat="false" ht="15" hidden="false" customHeight="false" outlineLevel="0" collapsed="false">
      <c r="A21" s="4" t="s">
        <v>179</v>
      </c>
      <c r="B21" s="4" t="s">
        <v>152</v>
      </c>
      <c r="C21" s="4" t="n">
        <v>22</v>
      </c>
      <c r="D21" s="4" t="s">
        <v>83</v>
      </c>
      <c r="E21" s="4" t="s">
        <v>161</v>
      </c>
      <c r="F21" s="4" t="n">
        <v>920</v>
      </c>
      <c r="G21" s="4" t="n">
        <v>1120</v>
      </c>
      <c r="H21" s="4" t="n">
        <v>897</v>
      </c>
      <c r="I21" s="4" t="n">
        <v>87</v>
      </c>
      <c r="J21" s="4"/>
    </row>
    <row r="22" customFormat="false" ht="15" hidden="false" customHeight="false" outlineLevel="0" collapsed="false">
      <c r="A22" s="4" t="s">
        <v>179</v>
      </c>
      <c r="B22" s="4" t="s">
        <v>152</v>
      </c>
      <c r="C22" s="4" t="n">
        <v>76</v>
      </c>
      <c r="D22" s="4" t="s">
        <v>187</v>
      </c>
      <c r="E22" s="4" t="s">
        <v>161</v>
      </c>
      <c r="F22" s="4" t="n">
        <v>1835</v>
      </c>
      <c r="G22" s="4" t="n">
        <v>1125</v>
      </c>
      <c r="H22" s="4" t="n">
        <v>447</v>
      </c>
      <c r="I22" s="4" t="n">
        <v>87</v>
      </c>
      <c r="J22" s="4"/>
    </row>
    <row r="23" customFormat="false" ht="15" hidden="false" customHeight="false" outlineLevel="0" collapsed="false">
      <c r="A23" s="4" t="s">
        <v>181</v>
      </c>
      <c r="B23" s="4" t="s">
        <v>152</v>
      </c>
      <c r="C23" s="4" t="n">
        <v>33</v>
      </c>
      <c r="D23" s="4" t="s">
        <v>125</v>
      </c>
      <c r="E23" s="4" t="s">
        <v>183</v>
      </c>
      <c r="F23" s="4" t="n">
        <v>5</v>
      </c>
      <c r="G23" s="4" t="n">
        <v>5</v>
      </c>
      <c r="H23" s="4" t="n">
        <v>1650</v>
      </c>
      <c r="I23" s="4" t="n">
        <v>876</v>
      </c>
      <c r="J23" s="4"/>
    </row>
    <row r="24" customFormat="false" ht="15" hidden="false" customHeight="false" outlineLevel="0" collapsed="false">
      <c r="A24" s="4" t="s">
        <v>181</v>
      </c>
      <c r="B24" s="4" t="s">
        <v>152</v>
      </c>
      <c r="C24" s="4" t="n">
        <v>87</v>
      </c>
      <c r="D24" s="4" t="s">
        <v>188</v>
      </c>
      <c r="E24" s="4" t="s">
        <v>151</v>
      </c>
      <c r="F24" s="4" t="n">
        <v>1659</v>
      </c>
      <c r="G24" s="4" t="n">
        <v>5</v>
      </c>
      <c r="H24" s="4" t="n">
        <v>457</v>
      </c>
      <c r="I24" s="4" t="n">
        <v>950</v>
      </c>
      <c r="J24" s="4" t="s">
        <v>244</v>
      </c>
    </row>
    <row r="25" customFormat="false" ht="15" hidden="false" customHeight="false" outlineLevel="0" collapsed="false">
      <c r="A25" s="4" t="s">
        <v>181</v>
      </c>
      <c r="B25" s="4" t="s">
        <v>152</v>
      </c>
      <c r="C25" s="4" t="n">
        <v>111</v>
      </c>
      <c r="D25" s="4" t="s">
        <v>208</v>
      </c>
      <c r="E25" s="4" t="s">
        <v>172</v>
      </c>
      <c r="F25" s="4" t="n">
        <v>2120</v>
      </c>
      <c r="G25" s="4" t="n">
        <v>5</v>
      </c>
      <c r="H25" s="4" t="n">
        <v>294</v>
      </c>
      <c r="I25" s="4" t="n">
        <v>914</v>
      </c>
      <c r="J25" s="4" t="s">
        <v>244</v>
      </c>
    </row>
    <row r="26" customFormat="false" ht="15" hidden="false" customHeight="false" outlineLevel="0" collapsed="false">
      <c r="A26" s="4" t="s">
        <v>181</v>
      </c>
      <c r="B26" s="4" t="s">
        <v>152</v>
      </c>
      <c r="C26" s="4" t="n">
        <v>100</v>
      </c>
      <c r="D26" s="4" t="s">
        <v>198</v>
      </c>
      <c r="E26" s="4" t="s">
        <v>199</v>
      </c>
      <c r="F26" s="4" t="n">
        <v>5</v>
      </c>
      <c r="G26" s="4" t="n">
        <v>885</v>
      </c>
      <c r="H26" s="4" t="n">
        <v>1016</v>
      </c>
      <c r="I26" s="4" t="n">
        <v>50.8</v>
      </c>
      <c r="J26" s="4"/>
    </row>
    <row r="27" customFormat="false" ht="15" hidden="false" customHeight="false" outlineLevel="0" collapsed="false">
      <c r="A27" s="4" t="s">
        <v>181</v>
      </c>
      <c r="B27" s="4" t="s">
        <v>152</v>
      </c>
      <c r="C27" s="4" t="n">
        <v>122</v>
      </c>
      <c r="D27" s="4" t="s">
        <v>211</v>
      </c>
      <c r="E27" s="4" t="s">
        <v>154</v>
      </c>
      <c r="F27" s="4" t="n">
        <v>1025</v>
      </c>
      <c r="G27" s="4" t="n">
        <v>885</v>
      </c>
      <c r="H27" s="4" t="n">
        <v>616.8</v>
      </c>
      <c r="I27" s="4" t="n">
        <v>294</v>
      </c>
      <c r="J27" s="4"/>
    </row>
    <row r="28" customFormat="false" ht="15" hidden="false" customHeight="false" outlineLevel="0" collapsed="false">
      <c r="A28" s="4" t="s">
        <v>181</v>
      </c>
      <c r="B28" s="4" t="s">
        <v>152</v>
      </c>
      <c r="C28" s="4" t="n">
        <v>127</v>
      </c>
      <c r="D28" s="4" t="s">
        <v>211</v>
      </c>
      <c r="E28" s="4" t="s">
        <v>192</v>
      </c>
      <c r="F28" s="4" t="n">
        <v>5</v>
      </c>
      <c r="G28" s="4" t="n">
        <v>940</v>
      </c>
      <c r="H28" s="4" t="n">
        <v>616.8</v>
      </c>
      <c r="I28" s="4" t="n">
        <v>256</v>
      </c>
      <c r="J28" s="4"/>
    </row>
    <row r="29" customFormat="false" ht="15" hidden="false" customHeight="false" outlineLevel="0" collapsed="false">
      <c r="A29" s="4" t="s">
        <v>181</v>
      </c>
      <c r="B29" s="4" t="s">
        <v>152</v>
      </c>
      <c r="C29" s="4" t="n">
        <v>108</v>
      </c>
      <c r="D29" s="4" t="s">
        <v>208</v>
      </c>
      <c r="E29" s="4" t="s">
        <v>192</v>
      </c>
      <c r="F29" s="4" t="n">
        <v>626</v>
      </c>
      <c r="G29" s="4" t="n">
        <v>940</v>
      </c>
      <c r="H29" s="4" t="n">
        <v>364</v>
      </c>
      <c r="I29" s="4" t="n">
        <v>256</v>
      </c>
      <c r="J29" s="4"/>
    </row>
    <row r="30" customFormat="false" ht="15" hidden="false" customHeight="false" outlineLevel="0" collapsed="false">
      <c r="A30" s="4" t="s">
        <v>181</v>
      </c>
      <c r="B30" s="4" t="s">
        <v>152</v>
      </c>
      <c r="C30" s="4" t="n">
        <v>28</v>
      </c>
      <c r="D30" s="4" t="s">
        <v>83</v>
      </c>
      <c r="E30" s="4" t="s">
        <v>169</v>
      </c>
      <c r="F30" s="4" t="n">
        <v>1659</v>
      </c>
      <c r="G30" s="4" t="n">
        <v>959</v>
      </c>
      <c r="H30" s="4" t="n">
        <v>454</v>
      </c>
      <c r="I30" s="4" t="n">
        <v>100</v>
      </c>
      <c r="J30" s="4"/>
    </row>
    <row r="31" customFormat="false" ht="15" hidden="false" customHeight="false" outlineLevel="0" collapsed="false">
      <c r="A31" s="4" t="s">
        <v>181</v>
      </c>
      <c r="B31" s="4" t="s">
        <v>152</v>
      </c>
      <c r="C31" s="4" t="n">
        <v>47</v>
      </c>
      <c r="D31" s="4" t="s">
        <v>186</v>
      </c>
      <c r="E31" s="4" t="s">
        <v>168</v>
      </c>
      <c r="F31" s="4" t="n">
        <v>1659</v>
      </c>
      <c r="G31" s="4" t="n">
        <v>1063</v>
      </c>
      <c r="H31" s="4" t="n">
        <v>454</v>
      </c>
      <c r="I31" s="4" t="n">
        <v>100</v>
      </c>
      <c r="J31" s="4"/>
    </row>
    <row r="32" customFormat="false" ht="15" hidden="false" customHeight="false" outlineLevel="0" collapsed="false">
      <c r="A32" s="4" t="s">
        <v>180</v>
      </c>
      <c r="B32" s="4" t="s">
        <v>152</v>
      </c>
      <c r="C32" s="4" t="n">
        <v>132</v>
      </c>
      <c r="D32" s="4" t="s">
        <v>105</v>
      </c>
      <c r="E32" s="4" t="s">
        <v>151</v>
      </c>
      <c r="F32" s="4" t="n">
        <v>5</v>
      </c>
      <c r="G32" s="4" t="n">
        <v>5</v>
      </c>
      <c r="H32" s="4" t="n">
        <v>914</v>
      </c>
      <c r="I32" s="4" t="n">
        <v>900</v>
      </c>
      <c r="J32" s="4"/>
    </row>
    <row r="33" customFormat="false" ht="15" hidden="false" customHeight="false" outlineLevel="0" collapsed="false">
      <c r="A33" s="4" t="s">
        <v>180</v>
      </c>
      <c r="B33" s="4" t="s">
        <v>152</v>
      </c>
      <c r="C33" s="4" t="n">
        <v>88</v>
      </c>
      <c r="D33" s="4" t="s">
        <v>188</v>
      </c>
      <c r="E33" s="4" t="s">
        <v>154</v>
      </c>
      <c r="F33" s="4" t="n">
        <v>923</v>
      </c>
      <c r="G33" s="4" t="n">
        <v>5</v>
      </c>
      <c r="H33" s="4" t="n">
        <v>914</v>
      </c>
      <c r="I33" s="4" t="n">
        <v>748</v>
      </c>
      <c r="J33" s="4"/>
    </row>
    <row r="34" customFormat="false" ht="15" hidden="false" customHeight="false" outlineLevel="0" collapsed="false">
      <c r="A34" s="4" t="s">
        <v>180</v>
      </c>
      <c r="B34" s="4" t="s">
        <v>152</v>
      </c>
      <c r="C34" s="4" t="n">
        <v>134</v>
      </c>
      <c r="D34" s="4" t="s">
        <v>105</v>
      </c>
      <c r="E34" s="4" t="s">
        <v>176</v>
      </c>
      <c r="F34" s="4" t="n">
        <v>1841</v>
      </c>
      <c r="G34" s="4" t="n">
        <v>5</v>
      </c>
      <c r="H34" s="4" t="n">
        <v>447</v>
      </c>
      <c r="I34" s="4" t="n">
        <v>911</v>
      </c>
      <c r="J34" s="4" t="s">
        <v>244</v>
      </c>
    </row>
    <row r="35" customFormat="false" ht="15" hidden="false" customHeight="false" outlineLevel="0" collapsed="false">
      <c r="A35" s="4" t="s">
        <v>180</v>
      </c>
      <c r="B35" s="4" t="s">
        <v>152</v>
      </c>
      <c r="C35" s="4" t="n">
        <v>26</v>
      </c>
      <c r="D35" s="4" t="s">
        <v>83</v>
      </c>
      <c r="E35" s="4" t="s">
        <v>167</v>
      </c>
      <c r="F35" s="4" t="n">
        <v>2292</v>
      </c>
      <c r="G35" s="4" t="n">
        <v>5</v>
      </c>
      <c r="H35" s="4" t="n">
        <v>100</v>
      </c>
      <c r="I35" s="4" t="n">
        <v>900</v>
      </c>
      <c r="J35" s="4" t="s">
        <v>244</v>
      </c>
    </row>
    <row r="36" customFormat="false" ht="15" hidden="false" customHeight="false" outlineLevel="0" collapsed="false">
      <c r="A36" s="4" t="s">
        <v>180</v>
      </c>
      <c r="B36" s="4" t="s">
        <v>152</v>
      </c>
      <c r="C36" s="4" t="n">
        <v>105</v>
      </c>
      <c r="D36" s="4" t="s">
        <v>208</v>
      </c>
      <c r="E36" s="4" t="s">
        <v>151</v>
      </c>
      <c r="F36" s="4" t="n">
        <v>923</v>
      </c>
      <c r="G36" s="4" t="n">
        <v>757</v>
      </c>
      <c r="H36" s="4" t="n">
        <v>914</v>
      </c>
      <c r="I36" s="4" t="n">
        <v>400</v>
      </c>
      <c r="J36" s="4"/>
    </row>
    <row r="37" customFormat="false" ht="15" hidden="false" customHeight="false" outlineLevel="0" collapsed="false">
      <c r="A37" s="4" t="s">
        <v>180</v>
      </c>
      <c r="B37" s="4" t="s">
        <v>152</v>
      </c>
      <c r="C37" s="4" t="n">
        <v>110</v>
      </c>
      <c r="D37" s="4" t="s">
        <v>208</v>
      </c>
      <c r="E37" s="4" t="s">
        <v>170</v>
      </c>
      <c r="F37" s="4" t="n">
        <v>5</v>
      </c>
      <c r="G37" s="4" t="n">
        <v>909</v>
      </c>
      <c r="H37" s="4" t="n">
        <v>914</v>
      </c>
      <c r="I37" s="4" t="n">
        <v>294</v>
      </c>
      <c r="J37" s="4"/>
    </row>
    <row r="38" customFormat="false" ht="15" hidden="false" customHeight="false" outlineLevel="0" collapsed="false">
      <c r="A38" s="4" t="s">
        <v>180</v>
      </c>
      <c r="B38" s="4" t="s">
        <v>152</v>
      </c>
      <c r="C38" s="4" t="n">
        <v>114</v>
      </c>
      <c r="D38" s="4" t="s">
        <v>96</v>
      </c>
      <c r="E38" s="4" t="s">
        <v>154</v>
      </c>
      <c r="F38" s="4" t="n">
        <v>1841</v>
      </c>
      <c r="G38" s="4" t="n">
        <v>920</v>
      </c>
      <c r="H38" s="4" t="n">
        <v>584</v>
      </c>
      <c r="I38" s="4" t="n">
        <v>294</v>
      </c>
      <c r="J38" s="4"/>
    </row>
    <row r="39" customFormat="false" ht="15" hidden="false" customHeight="false" outlineLevel="0" collapsed="false">
      <c r="A39" s="4" t="s">
        <v>182</v>
      </c>
      <c r="B39" s="4" t="s">
        <v>152</v>
      </c>
      <c r="C39" s="4" t="n">
        <v>96</v>
      </c>
      <c r="D39" s="4" t="s">
        <v>188</v>
      </c>
      <c r="E39" s="4" t="s">
        <v>193</v>
      </c>
      <c r="F39" s="4" t="n">
        <v>5</v>
      </c>
      <c r="G39" s="4" t="n">
        <v>5</v>
      </c>
      <c r="H39" s="4" t="n">
        <v>914</v>
      </c>
      <c r="I39" s="4" t="n">
        <v>748</v>
      </c>
      <c r="J39" s="4"/>
    </row>
    <row r="40" customFormat="false" ht="15" hidden="false" customHeight="false" outlineLevel="0" collapsed="false">
      <c r="A40" s="4" t="s">
        <v>182</v>
      </c>
      <c r="B40" s="4" t="s">
        <v>152</v>
      </c>
      <c r="C40" s="4" t="n">
        <v>93</v>
      </c>
      <c r="D40" s="4" t="s">
        <v>188</v>
      </c>
      <c r="E40" s="4" t="s">
        <v>192</v>
      </c>
      <c r="F40" s="4" t="n">
        <v>923</v>
      </c>
      <c r="G40" s="4" t="n">
        <v>5</v>
      </c>
      <c r="H40" s="4" t="n">
        <v>914</v>
      </c>
      <c r="I40" s="4" t="n">
        <v>710</v>
      </c>
      <c r="J40" s="4"/>
    </row>
    <row r="41" customFormat="false" ht="15" hidden="false" customHeight="false" outlineLevel="0" collapsed="false">
      <c r="A41" s="4" t="s">
        <v>182</v>
      </c>
      <c r="B41" s="4" t="s">
        <v>152</v>
      </c>
      <c r="C41" s="4" t="n">
        <v>135</v>
      </c>
      <c r="D41" s="4" t="s">
        <v>105</v>
      </c>
      <c r="E41" s="4" t="s">
        <v>177</v>
      </c>
      <c r="F41" s="4" t="n">
        <v>1841</v>
      </c>
      <c r="G41" s="4" t="n">
        <v>5</v>
      </c>
      <c r="H41" s="4" t="n">
        <v>447</v>
      </c>
      <c r="I41" s="4" t="n">
        <v>911</v>
      </c>
      <c r="J41" s="4" t="s">
        <v>244</v>
      </c>
    </row>
    <row r="42" customFormat="false" ht="15" hidden="false" customHeight="false" outlineLevel="0" collapsed="false">
      <c r="A42" s="4" t="s">
        <v>182</v>
      </c>
      <c r="B42" s="4" t="s">
        <v>152</v>
      </c>
      <c r="C42" s="4" t="n">
        <v>31</v>
      </c>
      <c r="D42" s="4" t="s">
        <v>83</v>
      </c>
      <c r="E42" s="4" t="s">
        <v>173</v>
      </c>
      <c r="F42" s="4" t="n">
        <v>2292</v>
      </c>
      <c r="G42" s="4" t="n">
        <v>5</v>
      </c>
      <c r="H42" s="4" t="n">
        <v>100</v>
      </c>
      <c r="I42" s="4" t="n">
        <v>864</v>
      </c>
      <c r="J42" s="4" t="s">
        <v>244</v>
      </c>
    </row>
    <row r="43" customFormat="false" ht="15" hidden="false" customHeight="false" outlineLevel="0" collapsed="false">
      <c r="A43" s="4" t="s">
        <v>182</v>
      </c>
      <c r="B43" s="4" t="s">
        <v>152</v>
      </c>
      <c r="C43" s="4" t="n">
        <v>130</v>
      </c>
      <c r="D43" s="4" t="s">
        <v>211</v>
      </c>
      <c r="E43" s="4" t="s">
        <v>172</v>
      </c>
      <c r="F43" s="4" t="n">
        <v>923</v>
      </c>
      <c r="G43" s="4" t="n">
        <v>719</v>
      </c>
      <c r="H43" s="4" t="n">
        <v>914</v>
      </c>
      <c r="I43" s="4" t="n">
        <v>294</v>
      </c>
      <c r="J43" s="4"/>
    </row>
    <row r="44" customFormat="false" ht="15" hidden="false" customHeight="false" outlineLevel="0" collapsed="false">
      <c r="A44" s="4" t="s">
        <v>182</v>
      </c>
      <c r="B44" s="4" t="s">
        <v>152</v>
      </c>
      <c r="C44" s="4" t="n">
        <v>129</v>
      </c>
      <c r="D44" s="4" t="s">
        <v>211</v>
      </c>
      <c r="E44" s="4" t="s">
        <v>170</v>
      </c>
      <c r="F44" s="4" t="n">
        <v>5</v>
      </c>
      <c r="G44" s="4" t="n">
        <v>757</v>
      </c>
      <c r="H44" s="4" t="n">
        <v>914</v>
      </c>
      <c r="I44" s="4" t="n">
        <v>294</v>
      </c>
      <c r="J44" s="4"/>
    </row>
    <row r="45" customFormat="false" ht="15" hidden="false" customHeight="false" outlineLevel="0" collapsed="false">
      <c r="A45" s="4" t="s">
        <v>182</v>
      </c>
      <c r="B45" s="4" t="s">
        <v>152</v>
      </c>
      <c r="C45" s="4" t="n">
        <v>120</v>
      </c>
      <c r="D45" s="4" t="s">
        <v>96</v>
      </c>
      <c r="E45" s="4" t="s">
        <v>193</v>
      </c>
      <c r="F45" s="4" t="n">
        <v>1841</v>
      </c>
      <c r="G45" s="4" t="n">
        <v>920</v>
      </c>
      <c r="H45" s="4" t="n">
        <v>584</v>
      </c>
      <c r="I45" s="4" t="n">
        <v>294</v>
      </c>
      <c r="J45" s="4"/>
    </row>
    <row r="46" customFormat="false" ht="15" hidden="false" customHeight="false" outlineLevel="0" collapsed="false">
      <c r="A46" s="4" t="s">
        <v>182</v>
      </c>
      <c r="B46" s="4" t="s">
        <v>152</v>
      </c>
      <c r="C46" s="4" t="n">
        <v>126</v>
      </c>
      <c r="D46" s="4" t="s">
        <v>211</v>
      </c>
      <c r="E46" s="4" t="s">
        <v>191</v>
      </c>
      <c r="F46" s="4" t="n">
        <v>923</v>
      </c>
      <c r="G46" s="4" t="n">
        <v>1017</v>
      </c>
      <c r="H46" s="4" t="n">
        <v>914</v>
      </c>
      <c r="I46" s="4" t="n">
        <v>124</v>
      </c>
      <c r="J46" s="4"/>
    </row>
    <row r="47" customFormat="false" ht="15" hidden="false" customHeight="false" outlineLevel="0" collapsed="false">
      <c r="A47" s="4" t="s">
        <v>182</v>
      </c>
      <c r="B47" s="4" t="s">
        <v>152</v>
      </c>
      <c r="C47" s="4" t="n">
        <v>125</v>
      </c>
      <c r="D47" s="4" t="s">
        <v>211</v>
      </c>
      <c r="E47" s="4" t="s">
        <v>190</v>
      </c>
      <c r="F47" s="4" t="n">
        <v>5</v>
      </c>
      <c r="G47" s="4" t="n">
        <v>1055</v>
      </c>
      <c r="H47" s="4" t="n">
        <v>914</v>
      </c>
      <c r="I47" s="4" t="n">
        <v>142</v>
      </c>
      <c r="J47" s="4"/>
    </row>
    <row r="48" customFormat="false" ht="15" hidden="false" customHeight="false" outlineLevel="0" collapsed="false">
      <c r="A48" s="4" t="s">
        <v>178</v>
      </c>
      <c r="B48" s="4" t="s">
        <v>152</v>
      </c>
      <c r="C48" s="4" t="n">
        <v>121</v>
      </c>
      <c r="D48" s="4" t="s">
        <v>211</v>
      </c>
      <c r="E48" s="4" t="s">
        <v>151</v>
      </c>
      <c r="F48" s="4" t="n">
        <v>5</v>
      </c>
      <c r="G48" s="4" t="n">
        <v>5</v>
      </c>
      <c r="H48" s="4" t="n">
        <v>914</v>
      </c>
      <c r="I48" s="4" t="n">
        <v>652.8</v>
      </c>
      <c r="J48" s="4"/>
    </row>
    <row r="49" customFormat="false" ht="15" hidden="false" customHeight="false" outlineLevel="0" collapsed="false">
      <c r="A49" s="4" t="s">
        <v>178</v>
      </c>
      <c r="B49" s="4" t="s">
        <v>152</v>
      </c>
      <c r="C49" s="4" t="n">
        <v>34</v>
      </c>
      <c r="D49" s="4" t="s">
        <v>125</v>
      </c>
      <c r="E49" s="4" t="s">
        <v>184</v>
      </c>
      <c r="F49" s="4" t="n">
        <v>923</v>
      </c>
      <c r="G49" s="4" t="n">
        <v>5</v>
      </c>
      <c r="H49" s="4" t="n">
        <v>876</v>
      </c>
      <c r="I49" s="4" t="n">
        <v>628</v>
      </c>
      <c r="J49" s="4"/>
    </row>
    <row r="50" customFormat="false" ht="15" hidden="false" customHeight="false" outlineLevel="0" collapsed="false">
      <c r="A50" s="4" t="s">
        <v>178</v>
      </c>
      <c r="B50" s="4" t="s">
        <v>152</v>
      </c>
      <c r="C50" s="4" t="n">
        <v>35</v>
      </c>
      <c r="D50" s="4" t="s">
        <v>125</v>
      </c>
      <c r="E50" s="4" t="s">
        <v>185</v>
      </c>
      <c r="F50" s="4" t="n">
        <v>1803</v>
      </c>
      <c r="G50" s="4" t="n">
        <v>5</v>
      </c>
      <c r="H50" s="4" t="n">
        <v>628</v>
      </c>
      <c r="I50" s="4" t="n">
        <v>876</v>
      </c>
      <c r="J50" s="4" t="s">
        <v>244</v>
      </c>
    </row>
    <row r="51" customFormat="false" ht="15" hidden="false" customHeight="false" outlineLevel="0" collapsed="false">
      <c r="A51" s="4" t="s">
        <v>178</v>
      </c>
      <c r="B51" s="4" t="s">
        <v>152</v>
      </c>
      <c r="C51" s="4" t="n">
        <v>140</v>
      </c>
      <c r="D51" s="4" t="s">
        <v>102</v>
      </c>
      <c r="E51" s="4" t="s">
        <v>213</v>
      </c>
      <c r="F51" s="4" t="n">
        <v>923</v>
      </c>
      <c r="G51" s="4" t="n">
        <v>637</v>
      </c>
      <c r="H51" s="4" t="n">
        <v>876</v>
      </c>
      <c r="I51" s="4" t="n">
        <v>486</v>
      </c>
      <c r="J51" s="4"/>
    </row>
    <row r="52" customFormat="false" ht="15" hidden="false" customHeight="false" outlineLevel="0" collapsed="false">
      <c r="A52" s="4" t="s">
        <v>178</v>
      </c>
      <c r="B52" s="4" t="s">
        <v>152</v>
      </c>
      <c r="C52" s="4" t="n">
        <v>136</v>
      </c>
      <c r="D52" s="4" t="s">
        <v>105</v>
      </c>
      <c r="E52" s="4" t="s">
        <v>170</v>
      </c>
      <c r="F52" s="4" t="n">
        <v>5</v>
      </c>
      <c r="G52" s="4" t="n">
        <v>662</v>
      </c>
      <c r="H52" s="4" t="n">
        <v>914</v>
      </c>
      <c r="I52" s="4" t="n">
        <v>294</v>
      </c>
      <c r="J52" s="4"/>
    </row>
    <row r="53" customFormat="false" ht="15" hidden="false" customHeight="false" outlineLevel="0" collapsed="false">
      <c r="A53" s="4" t="s">
        <v>178</v>
      </c>
      <c r="B53" s="4" t="s">
        <v>152</v>
      </c>
      <c r="C53" s="4" t="n">
        <v>131</v>
      </c>
      <c r="D53" s="4" t="s">
        <v>211</v>
      </c>
      <c r="E53" s="4" t="s">
        <v>193</v>
      </c>
      <c r="F53" s="4" t="n">
        <v>1803</v>
      </c>
      <c r="G53" s="4" t="n">
        <v>885</v>
      </c>
      <c r="H53" s="4" t="n">
        <v>616.8</v>
      </c>
      <c r="I53" s="4" t="n">
        <v>294</v>
      </c>
      <c r="J53" s="4"/>
    </row>
    <row r="54" customFormat="false" ht="15" hidden="false" customHeight="false" outlineLevel="0" collapsed="false">
      <c r="A54" s="4" t="s">
        <v>178</v>
      </c>
      <c r="B54" s="4" t="s">
        <v>152</v>
      </c>
      <c r="C54" s="4" t="n">
        <v>32</v>
      </c>
      <c r="D54" s="4" t="s">
        <v>83</v>
      </c>
      <c r="E54" s="4" t="s">
        <v>174</v>
      </c>
      <c r="F54" s="4" t="n">
        <v>5</v>
      </c>
      <c r="G54" s="4" t="n">
        <v>960</v>
      </c>
      <c r="H54" s="4" t="n">
        <v>864</v>
      </c>
      <c r="I54" s="4" t="n">
        <v>100</v>
      </c>
      <c r="J54" s="4"/>
    </row>
    <row r="55" customFormat="false" ht="15" hidden="false" customHeight="false" outlineLevel="0" collapsed="false">
      <c r="A55" s="4" t="s">
        <v>178</v>
      </c>
      <c r="B55" s="4" t="s">
        <v>152</v>
      </c>
      <c r="C55" s="4" t="n">
        <v>23</v>
      </c>
      <c r="D55" s="4" t="s">
        <v>83</v>
      </c>
      <c r="E55" s="4" t="s">
        <v>162</v>
      </c>
      <c r="F55" s="4" t="n">
        <v>5</v>
      </c>
      <c r="G55" s="4" t="n">
        <v>1064</v>
      </c>
      <c r="H55" s="4" t="n">
        <v>803</v>
      </c>
      <c r="I55" s="4" t="n">
        <v>73</v>
      </c>
      <c r="J55" s="4"/>
    </row>
    <row r="56" customFormat="false" ht="15" hidden="false" customHeight="false" outlineLevel="0" collapsed="false">
      <c r="A56" s="4" t="s">
        <v>178</v>
      </c>
      <c r="B56" s="4" t="s">
        <v>152</v>
      </c>
      <c r="C56" s="4" t="n">
        <v>21</v>
      </c>
      <c r="D56" s="4" t="s">
        <v>83</v>
      </c>
      <c r="E56" s="4" t="s">
        <v>160</v>
      </c>
      <c r="F56" s="4" t="n">
        <v>923</v>
      </c>
      <c r="G56" s="4" t="n">
        <v>1127</v>
      </c>
      <c r="H56" s="4" t="n">
        <v>803</v>
      </c>
      <c r="I56" s="4" t="n">
        <v>73</v>
      </c>
      <c r="J56" s="4"/>
    </row>
    <row r="57" customFormat="false" ht="15" hidden="false" customHeight="false" outlineLevel="0" collapsed="false">
      <c r="A57" s="4" t="s">
        <v>178</v>
      </c>
      <c r="B57" s="4" t="s">
        <v>152</v>
      </c>
      <c r="C57" s="4" t="n">
        <v>58</v>
      </c>
      <c r="D57" s="4" t="s">
        <v>119</v>
      </c>
      <c r="E57" s="4" t="s">
        <v>160</v>
      </c>
      <c r="F57" s="4" t="n">
        <v>5</v>
      </c>
      <c r="G57" s="4" t="n">
        <v>1141</v>
      </c>
      <c r="H57" s="4" t="n">
        <v>653</v>
      </c>
      <c r="I57" s="4" t="n">
        <v>73</v>
      </c>
      <c r="J57" s="4"/>
    </row>
    <row r="58" customFormat="false" ht="15" hidden="false" customHeight="false" outlineLevel="0" collapsed="false">
      <c r="A58" s="4" t="s">
        <v>175</v>
      </c>
      <c r="B58" s="4" t="s">
        <v>152</v>
      </c>
      <c r="C58" s="4" t="n">
        <v>141</v>
      </c>
      <c r="D58" s="4" t="s">
        <v>102</v>
      </c>
      <c r="E58" s="4" t="s">
        <v>214</v>
      </c>
      <c r="F58" s="4" t="n">
        <v>5</v>
      </c>
      <c r="G58" s="4" t="n">
        <v>5</v>
      </c>
      <c r="H58" s="4" t="n">
        <v>876</v>
      </c>
      <c r="I58" s="4" t="n">
        <v>610</v>
      </c>
      <c r="J58" s="4"/>
    </row>
    <row r="59" customFormat="false" ht="15" hidden="false" customHeight="false" outlineLevel="0" collapsed="false">
      <c r="A59" s="4" t="s">
        <v>175</v>
      </c>
      <c r="B59" s="4" t="s">
        <v>152</v>
      </c>
      <c r="C59" s="4" t="n">
        <v>133</v>
      </c>
      <c r="D59" s="4" t="s">
        <v>105</v>
      </c>
      <c r="E59" s="4" t="s">
        <v>154</v>
      </c>
      <c r="F59" s="4" t="n">
        <v>885</v>
      </c>
      <c r="G59" s="4" t="n">
        <v>5</v>
      </c>
      <c r="H59" s="4" t="n">
        <v>864</v>
      </c>
      <c r="I59" s="4" t="n">
        <v>294</v>
      </c>
      <c r="J59" s="4"/>
    </row>
    <row r="60" customFormat="false" ht="15" hidden="false" customHeight="false" outlineLevel="0" collapsed="false">
      <c r="A60" s="4" t="s">
        <v>175</v>
      </c>
      <c r="B60" s="4" t="s">
        <v>152</v>
      </c>
      <c r="C60" s="4" t="n">
        <v>118</v>
      </c>
      <c r="D60" s="4" t="s">
        <v>96</v>
      </c>
      <c r="E60" s="4" t="s">
        <v>170</v>
      </c>
      <c r="F60" s="4" t="n">
        <v>1753</v>
      </c>
      <c r="G60" s="4" t="n">
        <v>5</v>
      </c>
      <c r="H60" s="4" t="n">
        <v>672</v>
      </c>
      <c r="I60" s="4" t="n">
        <v>294</v>
      </c>
      <c r="J60" s="4"/>
    </row>
    <row r="61" customFormat="false" ht="15" hidden="false" customHeight="false" outlineLevel="0" collapsed="false">
      <c r="A61" s="4" t="s">
        <v>175</v>
      </c>
      <c r="B61" s="4" t="s">
        <v>152</v>
      </c>
      <c r="C61" s="4" t="n">
        <v>138</v>
      </c>
      <c r="D61" s="4" t="s">
        <v>105</v>
      </c>
      <c r="E61" s="4" t="s">
        <v>193</v>
      </c>
      <c r="F61" s="4" t="n">
        <v>885</v>
      </c>
      <c r="G61" s="4" t="n">
        <v>303</v>
      </c>
      <c r="H61" s="4" t="n">
        <v>864</v>
      </c>
      <c r="I61" s="4" t="n">
        <v>294</v>
      </c>
      <c r="J61" s="4"/>
    </row>
    <row r="62" customFormat="false" ht="15" hidden="false" customHeight="false" outlineLevel="0" collapsed="false">
      <c r="A62" s="4" t="s">
        <v>175</v>
      </c>
      <c r="B62" s="4" t="s">
        <v>152</v>
      </c>
      <c r="C62" s="4" t="n">
        <v>30</v>
      </c>
      <c r="D62" s="4" t="s">
        <v>83</v>
      </c>
      <c r="E62" s="4" t="s">
        <v>172</v>
      </c>
      <c r="F62" s="4" t="n">
        <v>1753</v>
      </c>
      <c r="G62" s="4" t="n">
        <v>303</v>
      </c>
      <c r="H62" s="4" t="n">
        <v>592</v>
      </c>
      <c r="I62" s="4" t="n">
        <v>776</v>
      </c>
      <c r="J62" s="4" t="s">
        <v>244</v>
      </c>
    </row>
    <row r="63" customFormat="false" ht="15" hidden="false" customHeight="false" outlineLevel="0" collapsed="false">
      <c r="A63" s="4" t="s">
        <v>175</v>
      </c>
      <c r="B63" s="4" t="s">
        <v>152</v>
      </c>
      <c r="C63" s="4" t="n">
        <v>60</v>
      </c>
      <c r="D63" s="4" t="s">
        <v>119</v>
      </c>
      <c r="E63" s="4" t="s">
        <v>162</v>
      </c>
      <c r="F63" s="4" t="n">
        <v>2349</v>
      </c>
      <c r="G63" s="4" t="n">
        <v>303</v>
      </c>
      <c r="H63" s="4" t="n">
        <v>73</v>
      </c>
      <c r="I63" s="4" t="n">
        <v>653</v>
      </c>
      <c r="J63" s="4" t="s">
        <v>244</v>
      </c>
    </row>
    <row r="64" customFormat="false" ht="15" hidden="false" customHeight="false" outlineLevel="0" collapsed="false">
      <c r="A64" s="4" t="s">
        <v>175</v>
      </c>
      <c r="B64" s="4" t="s">
        <v>152</v>
      </c>
      <c r="C64" s="4" t="n">
        <v>29</v>
      </c>
      <c r="D64" s="4" t="s">
        <v>83</v>
      </c>
      <c r="E64" s="4" t="s">
        <v>170</v>
      </c>
      <c r="F64" s="4" t="n">
        <v>885</v>
      </c>
      <c r="G64" s="4" t="n">
        <v>601</v>
      </c>
      <c r="H64" s="4" t="n">
        <v>776</v>
      </c>
      <c r="I64" s="4" t="n">
        <v>592</v>
      </c>
      <c r="J64" s="4"/>
    </row>
    <row r="65" customFormat="false" ht="15" hidden="false" customHeight="false" outlineLevel="0" collapsed="false">
      <c r="A65" s="4" t="s">
        <v>175</v>
      </c>
      <c r="B65" s="4" t="s">
        <v>152</v>
      </c>
      <c r="C65" s="4" t="n">
        <v>25</v>
      </c>
      <c r="D65" s="4" t="s">
        <v>83</v>
      </c>
      <c r="E65" s="4" t="s">
        <v>165</v>
      </c>
      <c r="F65" s="4" t="n">
        <v>1665</v>
      </c>
      <c r="G65" s="4" t="n">
        <v>601</v>
      </c>
      <c r="H65" s="4" t="n">
        <v>73</v>
      </c>
      <c r="I65" s="4" t="n">
        <v>400</v>
      </c>
      <c r="J65" s="4" t="s">
        <v>244</v>
      </c>
    </row>
    <row r="66" customFormat="false" ht="15" hidden="false" customHeight="false" outlineLevel="0" collapsed="false">
      <c r="A66" s="4" t="s">
        <v>175</v>
      </c>
      <c r="B66" s="4" t="s">
        <v>152</v>
      </c>
      <c r="C66" s="4" t="n">
        <v>18</v>
      </c>
      <c r="D66" s="4" t="s">
        <v>83</v>
      </c>
      <c r="E66" s="4" t="s">
        <v>154</v>
      </c>
      <c r="F66" s="4" t="n">
        <v>5</v>
      </c>
      <c r="G66" s="4" t="n">
        <v>619</v>
      </c>
      <c r="H66" s="4" t="n">
        <v>864</v>
      </c>
      <c r="I66" s="4" t="n">
        <v>592</v>
      </c>
      <c r="J66" s="4"/>
    </row>
    <row r="67" customFormat="false" ht="15" hidden="false" customHeight="false" outlineLevel="0" collapsed="false">
      <c r="A67" s="4" t="s">
        <v>175</v>
      </c>
      <c r="B67" s="4" t="s">
        <v>152</v>
      </c>
      <c r="C67" s="4" t="n">
        <v>139</v>
      </c>
      <c r="D67" s="4" t="s">
        <v>102</v>
      </c>
      <c r="E67" s="4" t="s">
        <v>212</v>
      </c>
      <c r="F67" s="4" t="n">
        <v>1753</v>
      </c>
      <c r="G67" s="4" t="n">
        <v>1083</v>
      </c>
      <c r="H67" s="4" t="n">
        <v>634.8</v>
      </c>
      <c r="I67" s="4" t="n">
        <v>100</v>
      </c>
      <c r="J67" s="4"/>
    </row>
    <row r="68" customFormat="false" ht="15" hidden="false" customHeight="false" outlineLevel="0" collapsed="false">
      <c r="A68" s="4" t="s">
        <v>171</v>
      </c>
      <c r="B68" s="4" t="s">
        <v>152</v>
      </c>
      <c r="C68" s="4" t="n">
        <v>53</v>
      </c>
      <c r="D68" s="4" t="s">
        <v>119</v>
      </c>
      <c r="E68" s="4" t="s">
        <v>151</v>
      </c>
      <c r="F68" s="4" t="n">
        <v>5</v>
      </c>
      <c r="G68" s="4" t="n">
        <v>5</v>
      </c>
      <c r="H68" s="4" t="n">
        <v>776</v>
      </c>
      <c r="I68" s="4" t="n">
        <v>750</v>
      </c>
      <c r="J68" s="4"/>
    </row>
    <row r="69" customFormat="false" ht="15" hidden="false" customHeight="false" outlineLevel="0" collapsed="false">
      <c r="A69" s="4" t="s">
        <v>171</v>
      </c>
      <c r="B69" s="4" t="s">
        <v>152</v>
      </c>
      <c r="C69" s="4" t="n">
        <v>14</v>
      </c>
      <c r="D69" s="4" t="s">
        <v>87</v>
      </c>
      <c r="E69" s="4" t="s">
        <v>170</v>
      </c>
      <c r="F69" s="4" t="n">
        <v>785</v>
      </c>
      <c r="G69" s="4" t="n">
        <v>5</v>
      </c>
      <c r="H69" s="4" t="n">
        <v>776</v>
      </c>
      <c r="I69" s="4" t="n">
        <v>574</v>
      </c>
      <c r="J69" s="4"/>
    </row>
    <row r="70" customFormat="false" ht="15" hidden="false" customHeight="false" outlineLevel="0" collapsed="false">
      <c r="A70" s="4" t="s">
        <v>171</v>
      </c>
      <c r="B70" s="4" t="s">
        <v>152</v>
      </c>
      <c r="C70" s="4" t="n">
        <v>49</v>
      </c>
      <c r="D70" s="4" t="s">
        <v>186</v>
      </c>
      <c r="E70" s="4" t="s">
        <v>170</v>
      </c>
      <c r="F70" s="4" t="n">
        <v>1565</v>
      </c>
      <c r="G70" s="4" t="n">
        <v>5</v>
      </c>
      <c r="H70" s="4" t="n">
        <v>776</v>
      </c>
      <c r="I70" s="4" t="n">
        <v>574</v>
      </c>
      <c r="J70" s="4"/>
    </row>
    <row r="71" customFormat="false" ht="15" hidden="false" customHeight="false" outlineLevel="0" collapsed="false">
      <c r="A71" s="4" t="s">
        <v>171</v>
      </c>
      <c r="B71" s="4" t="s">
        <v>152</v>
      </c>
      <c r="C71" s="4" t="n">
        <v>44</v>
      </c>
      <c r="D71" s="4" t="s">
        <v>186</v>
      </c>
      <c r="E71" s="4" t="s">
        <v>164</v>
      </c>
      <c r="F71" s="4" t="n">
        <v>2345</v>
      </c>
      <c r="G71" s="4" t="n">
        <v>5</v>
      </c>
      <c r="H71" s="4" t="n">
        <v>73</v>
      </c>
      <c r="I71" s="4" t="n">
        <v>400</v>
      </c>
      <c r="J71" s="4" t="s">
        <v>244</v>
      </c>
    </row>
    <row r="72" customFormat="false" ht="15" hidden="false" customHeight="false" outlineLevel="0" collapsed="false">
      <c r="A72" s="4" t="s">
        <v>171</v>
      </c>
      <c r="B72" s="4" t="s">
        <v>152</v>
      </c>
      <c r="C72" s="4" t="n">
        <v>15</v>
      </c>
      <c r="D72" s="4" t="s">
        <v>87</v>
      </c>
      <c r="E72" s="4" t="s">
        <v>172</v>
      </c>
      <c r="F72" s="4" t="n">
        <v>785</v>
      </c>
      <c r="G72" s="4" t="n">
        <v>583</v>
      </c>
      <c r="H72" s="4" t="n">
        <v>776</v>
      </c>
      <c r="I72" s="4" t="n">
        <v>574</v>
      </c>
      <c r="J72" s="4"/>
    </row>
    <row r="73" customFormat="false" ht="15" hidden="false" customHeight="false" outlineLevel="0" collapsed="false">
      <c r="A73" s="4" t="s">
        <v>171</v>
      </c>
      <c r="B73" s="4" t="s">
        <v>152</v>
      </c>
      <c r="C73" s="4" t="n">
        <v>50</v>
      </c>
      <c r="D73" s="4" t="s">
        <v>186</v>
      </c>
      <c r="E73" s="4" t="s">
        <v>172</v>
      </c>
      <c r="F73" s="4" t="n">
        <v>1565</v>
      </c>
      <c r="G73" s="4" t="n">
        <v>583</v>
      </c>
      <c r="H73" s="4" t="n">
        <v>776</v>
      </c>
      <c r="I73" s="4" t="n">
        <v>574</v>
      </c>
      <c r="J73" s="4"/>
    </row>
    <row r="74" customFormat="false" ht="15" hidden="false" customHeight="false" outlineLevel="0" collapsed="false">
      <c r="A74" s="4" t="s">
        <v>171</v>
      </c>
      <c r="B74" s="4" t="s">
        <v>152</v>
      </c>
      <c r="C74" s="4" t="n">
        <v>45</v>
      </c>
      <c r="D74" s="4" t="s">
        <v>186</v>
      </c>
      <c r="E74" s="4" t="s">
        <v>165</v>
      </c>
      <c r="F74" s="4" t="n">
        <v>2345</v>
      </c>
      <c r="G74" s="4" t="n">
        <v>583</v>
      </c>
      <c r="H74" s="4" t="n">
        <v>73</v>
      </c>
      <c r="I74" s="4" t="n">
        <v>400</v>
      </c>
      <c r="J74" s="4" t="s">
        <v>244</v>
      </c>
    </row>
    <row r="75" customFormat="false" ht="15" hidden="false" customHeight="false" outlineLevel="0" collapsed="false">
      <c r="A75" s="4" t="s">
        <v>171</v>
      </c>
      <c r="B75" s="4" t="s">
        <v>152</v>
      </c>
      <c r="C75" s="4" t="n">
        <v>36</v>
      </c>
      <c r="D75" s="4" t="s">
        <v>186</v>
      </c>
      <c r="E75" s="4" t="s">
        <v>151</v>
      </c>
      <c r="F75" s="4" t="n">
        <v>5</v>
      </c>
      <c r="G75" s="4" t="n">
        <v>759</v>
      </c>
      <c r="H75" s="4" t="n">
        <v>776</v>
      </c>
      <c r="I75" s="4" t="n">
        <v>450</v>
      </c>
      <c r="J75" s="4"/>
    </row>
    <row r="76" customFormat="false" ht="15" hidden="false" customHeight="false" outlineLevel="0" collapsed="false">
      <c r="A76" s="4" t="s">
        <v>171</v>
      </c>
      <c r="B76" s="4" t="s">
        <v>152</v>
      </c>
      <c r="C76" s="4" t="n">
        <v>102</v>
      </c>
      <c r="D76" s="4" t="s">
        <v>198</v>
      </c>
      <c r="E76" s="4" t="s">
        <v>201</v>
      </c>
      <c r="F76" s="4" t="n">
        <v>785</v>
      </c>
      <c r="G76" s="4" t="n">
        <v>1161</v>
      </c>
      <c r="H76" s="4" t="n">
        <v>652.8</v>
      </c>
      <c r="I76" s="4" t="n">
        <v>50.8</v>
      </c>
      <c r="J76" s="4"/>
    </row>
    <row r="77" customFormat="false" ht="15" hidden="false" customHeight="false" outlineLevel="0" collapsed="false">
      <c r="A77" s="4" t="s">
        <v>171</v>
      </c>
      <c r="B77" s="4" t="s">
        <v>152</v>
      </c>
      <c r="C77" s="4" t="n">
        <v>103</v>
      </c>
      <c r="D77" s="4" t="s">
        <v>202</v>
      </c>
      <c r="E77" s="4" t="s">
        <v>203</v>
      </c>
      <c r="F77" s="4" t="n">
        <v>1565</v>
      </c>
      <c r="G77" s="4" t="n">
        <v>1161</v>
      </c>
      <c r="H77" s="4" t="n">
        <v>609.6</v>
      </c>
      <c r="I77" s="4" t="n">
        <v>46</v>
      </c>
      <c r="J77" s="4"/>
    </row>
    <row r="78" customFormat="false" ht="15" hidden="false" customHeight="false" outlineLevel="0" collapsed="false">
      <c r="A78" s="4" t="s">
        <v>153</v>
      </c>
      <c r="B78" s="4" t="s">
        <v>152</v>
      </c>
      <c r="C78" s="4" t="n">
        <v>66</v>
      </c>
      <c r="D78" s="4" t="s">
        <v>119</v>
      </c>
      <c r="E78" s="4" t="s">
        <v>170</v>
      </c>
      <c r="F78" s="4" t="n">
        <v>5</v>
      </c>
      <c r="G78" s="4" t="n">
        <v>5</v>
      </c>
      <c r="H78" s="4" t="n">
        <v>776</v>
      </c>
      <c r="I78" s="4" t="n">
        <v>574</v>
      </c>
      <c r="J78" s="4"/>
    </row>
    <row r="79" customFormat="false" ht="15" hidden="false" customHeight="false" outlineLevel="0" collapsed="false">
      <c r="A79" s="4" t="s">
        <v>153</v>
      </c>
      <c r="B79" s="4" t="s">
        <v>152</v>
      </c>
      <c r="C79" s="4" t="n">
        <v>83</v>
      </c>
      <c r="D79" s="4" t="s">
        <v>187</v>
      </c>
      <c r="E79" s="4" t="s">
        <v>170</v>
      </c>
      <c r="F79" s="4" t="n">
        <v>785</v>
      </c>
      <c r="G79" s="4" t="n">
        <v>5</v>
      </c>
      <c r="H79" s="4" t="n">
        <v>776</v>
      </c>
      <c r="I79" s="4" t="n">
        <v>574</v>
      </c>
      <c r="J79" s="4"/>
    </row>
    <row r="80" customFormat="false" ht="15" hidden="false" customHeight="false" outlineLevel="0" collapsed="false">
      <c r="A80" s="4" t="s">
        <v>153</v>
      </c>
      <c r="B80" s="4" t="s">
        <v>152</v>
      </c>
      <c r="C80" s="4" t="n">
        <v>70</v>
      </c>
      <c r="D80" s="4" t="s">
        <v>187</v>
      </c>
      <c r="E80" s="4" t="s">
        <v>151</v>
      </c>
      <c r="F80" s="4" t="n">
        <v>1565</v>
      </c>
      <c r="G80" s="4" t="n">
        <v>5</v>
      </c>
      <c r="H80" s="4" t="n">
        <v>776</v>
      </c>
      <c r="I80" s="4" t="n">
        <v>450</v>
      </c>
      <c r="J80" s="4"/>
    </row>
    <row r="81" customFormat="false" ht="15" hidden="false" customHeight="false" outlineLevel="0" collapsed="false">
      <c r="A81" s="4" t="s">
        <v>153</v>
      </c>
      <c r="B81" s="4" t="s">
        <v>152</v>
      </c>
      <c r="C81" s="4" t="n">
        <v>42</v>
      </c>
      <c r="D81" s="4" t="s">
        <v>186</v>
      </c>
      <c r="E81" s="4" t="s">
        <v>161</v>
      </c>
      <c r="F81" s="4" t="n">
        <v>2345</v>
      </c>
      <c r="G81" s="4" t="n">
        <v>5</v>
      </c>
      <c r="H81" s="4" t="n">
        <v>87</v>
      </c>
      <c r="I81" s="4" t="n">
        <v>447</v>
      </c>
      <c r="J81" s="4" t="s">
        <v>244</v>
      </c>
    </row>
    <row r="82" customFormat="false" ht="15" hidden="false" customHeight="false" outlineLevel="0" collapsed="false">
      <c r="A82" s="4" t="s">
        <v>153</v>
      </c>
      <c r="B82" s="4" t="s">
        <v>152</v>
      </c>
      <c r="C82" s="4" t="n">
        <v>1</v>
      </c>
      <c r="D82" s="4" t="s">
        <v>87</v>
      </c>
      <c r="E82" s="4" t="s">
        <v>151</v>
      </c>
      <c r="F82" s="4" t="n">
        <v>1565</v>
      </c>
      <c r="G82" s="4" t="n">
        <v>459</v>
      </c>
      <c r="H82" s="4" t="n">
        <v>776</v>
      </c>
      <c r="I82" s="4" t="n">
        <v>400</v>
      </c>
      <c r="J82" s="4"/>
    </row>
    <row r="83" customFormat="false" ht="15" hidden="false" customHeight="false" outlineLevel="0" collapsed="false">
      <c r="A83" s="4" t="s">
        <v>153</v>
      </c>
      <c r="B83" s="4" t="s">
        <v>152</v>
      </c>
      <c r="C83" s="4" t="n">
        <v>9</v>
      </c>
      <c r="D83" s="4" t="s">
        <v>87</v>
      </c>
      <c r="E83" s="4" t="s">
        <v>164</v>
      </c>
      <c r="F83" s="4" t="n">
        <v>2345</v>
      </c>
      <c r="G83" s="4" t="n">
        <v>459</v>
      </c>
      <c r="H83" s="4" t="n">
        <v>73</v>
      </c>
      <c r="I83" s="4" t="n">
        <v>400</v>
      </c>
      <c r="J83" s="4" t="s">
        <v>244</v>
      </c>
    </row>
    <row r="84" customFormat="false" ht="15" hidden="false" customHeight="false" outlineLevel="0" collapsed="false">
      <c r="A84" s="4" t="s">
        <v>153</v>
      </c>
      <c r="B84" s="4" t="s">
        <v>152</v>
      </c>
      <c r="C84" s="4" t="n">
        <v>67</v>
      </c>
      <c r="D84" s="4" t="s">
        <v>119</v>
      </c>
      <c r="E84" s="4" t="s">
        <v>172</v>
      </c>
      <c r="F84" s="4" t="n">
        <v>5</v>
      </c>
      <c r="G84" s="4" t="n">
        <v>583</v>
      </c>
      <c r="H84" s="4" t="n">
        <v>776</v>
      </c>
      <c r="I84" s="4" t="n">
        <v>574</v>
      </c>
      <c r="J84" s="4"/>
    </row>
    <row r="85" customFormat="false" ht="15" hidden="false" customHeight="false" outlineLevel="0" collapsed="false">
      <c r="A85" s="4" t="s">
        <v>153</v>
      </c>
      <c r="B85" s="4" t="s">
        <v>152</v>
      </c>
      <c r="C85" s="4" t="n">
        <v>84</v>
      </c>
      <c r="D85" s="4" t="s">
        <v>187</v>
      </c>
      <c r="E85" s="4" t="s">
        <v>172</v>
      </c>
      <c r="F85" s="4" t="n">
        <v>785</v>
      </c>
      <c r="G85" s="4" t="n">
        <v>583</v>
      </c>
      <c r="H85" s="4" t="n">
        <v>776</v>
      </c>
      <c r="I85" s="4" t="n">
        <v>574</v>
      </c>
      <c r="J85" s="4"/>
    </row>
    <row r="86" customFormat="false" ht="15" hidden="false" customHeight="false" outlineLevel="0" collapsed="false">
      <c r="A86" s="4" t="s">
        <v>153</v>
      </c>
      <c r="B86" s="4" t="s">
        <v>152</v>
      </c>
      <c r="C86" s="4" t="n">
        <v>55</v>
      </c>
      <c r="D86" s="4" t="s">
        <v>119</v>
      </c>
      <c r="E86" s="4" t="s">
        <v>156</v>
      </c>
      <c r="F86" s="4" t="n">
        <v>1565</v>
      </c>
      <c r="G86" s="4" t="n">
        <v>863</v>
      </c>
      <c r="H86" s="4" t="n">
        <v>747</v>
      </c>
      <c r="I86" s="4" t="n">
        <v>325</v>
      </c>
      <c r="J86" s="4"/>
    </row>
    <row r="87" customFormat="false" ht="15" hidden="false" customHeight="false" outlineLevel="0" collapsed="false">
      <c r="A87" s="4" t="s">
        <v>153</v>
      </c>
      <c r="B87" s="4" t="s">
        <v>152</v>
      </c>
      <c r="C87" s="4" t="n">
        <v>103</v>
      </c>
      <c r="D87" s="4" t="s">
        <v>202</v>
      </c>
      <c r="E87" s="4" t="s">
        <v>203</v>
      </c>
      <c r="F87" s="4" t="n">
        <v>5</v>
      </c>
      <c r="G87" s="4" t="n">
        <v>1161</v>
      </c>
      <c r="H87" s="4" t="n">
        <v>609.6</v>
      </c>
      <c r="I87" s="4" t="n">
        <v>46</v>
      </c>
      <c r="J87" s="4"/>
    </row>
    <row r="88" customFormat="false" ht="15" hidden="false" customHeight="false" outlineLevel="0" collapsed="false">
      <c r="A88" s="4" t="s">
        <v>153</v>
      </c>
      <c r="B88" s="4" t="s">
        <v>152</v>
      </c>
      <c r="C88" s="4" t="n">
        <v>103</v>
      </c>
      <c r="D88" s="4" t="s">
        <v>202</v>
      </c>
      <c r="E88" s="4" t="s">
        <v>203</v>
      </c>
      <c r="F88" s="4" t="n">
        <v>785</v>
      </c>
      <c r="G88" s="4" t="n">
        <v>1161</v>
      </c>
      <c r="H88" s="4" t="n">
        <v>609.6</v>
      </c>
      <c r="I88" s="4" t="n">
        <v>46</v>
      </c>
      <c r="J88" s="4"/>
    </row>
    <row r="89" customFormat="false" ht="15" hidden="false" customHeight="false" outlineLevel="0" collapsed="false">
      <c r="A89" s="4" t="s">
        <v>163</v>
      </c>
      <c r="B89" s="4" t="s">
        <v>152</v>
      </c>
      <c r="C89" s="4" t="n">
        <v>19</v>
      </c>
      <c r="D89" s="4" t="s">
        <v>83</v>
      </c>
      <c r="E89" s="4" t="s">
        <v>176</v>
      </c>
      <c r="F89" s="4" t="n">
        <v>5</v>
      </c>
      <c r="G89" s="4" t="n">
        <v>5</v>
      </c>
      <c r="H89" s="4" t="n">
        <v>773</v>
      </c>
      <c r="I89" s="4" t="n">
        <v>447</v>
      </c>
      <c r="J89" s="4"/>
    </row>
    <row r="90" customFormat="false" ht="15" hidden="false" customHeight="false" outlineLevel="0" collapsed="false">
      <c r="A90" s="4" t="s">
        <v>163</v>
      </c>
      <c r="B90" s="4" t="s">
        <v>152</v>
      </c>
      <c r="C90" s="4" t="n">
        <v>94</v>
      </c>
      <c r="D90" s="4" t="s">
        <v>188</v>
      </c>
      <c r="E90" s="4" t="s">
        <v>170</v>
      </c>
      <c r="F90" s="4" t="n">
        <v>782</v>
      </c>
      <c r="G90" s="4" t="n">
        <v>5</v>
      </c>
      <c r="H90" s="4" t="n">
        <v>748</v>
      </c>
      <c r="I90" s="4" t="n">
        <v>457</v>
      </c>
      <c r="J90" s="4"/>
    </row>
    <row r="91" customFormat="false" ht="15" hidden="false" customHeight="false" outlineLevel="0" collapsed="false">
      <c r="A91" s="4" t="s">
        <v>163</v>
      </c>
      <c r="B91" s="4" t="s">
        <v>152</v>
      </c>
      <c r="C91" s="4" t="n">
        <v>56</v>
      </c>
      <c r="D91" s="4" t="s">
        <v>119</v>
      </c>
      <c r="E91" s="4" t="s">
        <v>158</v>
      </c>
      <c r="F91" s="4" t="n">
        <v>1534</v>
      </c>
      <c r="G91" s="4" t="n">
        <v>5</v>
      </c>
      <c r="H91" s="4" t="n">
        <v>747</v>
      </c>
      <c r="I91" s="4" t="n">
        <v>325</v>
      </c>
      <c r="J91" s="4"/>
    </row>
    <row r="92" customFormat="false" ht="15" hidden="false" customHeight="false" outlineLevel="0" collapsed="false">
      <c r="A92" s="4" t="s">
        <v>163</v>
      </c>
      <c r="B92" s="4" t="s">
        <v>152</v>
      </c>
      <c r="C92" s="4" t="n">
        <v>54</v>
      </c>
      <c r="D92" s="4" t="s">
        <v>119</v>
      </c>
      <c r="E92" s="4" t="s">
        <v>154</v>
      </c>
      <c r="F92" s="4" t="n">
        <v>1534</v>
      </c>
      <c r="G92" s="4" t="n">
        <v>334</v>
      </c>
      <c r="H92" s="4" t="n">
        <v>714</v>
      </c>
      <c r="I92" s="4" t="n">
        <v>574</v>
      </c>
      <c r="J92" s="4"/>
    </row>
    <row r="93" customFormat="false" ht="15" hidden="false" customHeight="false" outlineLevel="0" collapsed="false">
      <c r="A93" s="4" t="s">
        <v>163</v>
      </c>
      <c r="B93" s="4" t="s">
        <v>152</v>
      </c>
      <c r="C93" s="4" t="n">
        <v>91</v>
      </c>
      <c r="D93" s="4" t="s">
        <v>188</v>
      </c>
      <c r="E93" s="4" t="s">
        <v>190</v>
      </c>
      <c r="F93" s="4" t="n">
        <v>2252</v>
      </c>
      <c r="G93" s="4" t="n">
        <v>334</v>
      </c>
      <c r="H93" s="4" t="n">
        <v>122</v>
      </c>
      <c r="I93" s="4" t="n">
        <v>457</v>
      </c>
      <c r="J93" s="4" t="s">
        <v>244</v>
      </c>
    </row>
    <row r="94" customFormat="false" ht="15" hidden="false" customHeight="false" outlineLevel="0" collapsed="false">
      <c r="A94" s="4" t="s">
        <v>163</v>
      </c>
      <c r="B94" s="4" t="s">
        <v>152</v>
      </c>
      <c r="C94" s="4" t="n">
        <v>20</v>
      </c>
      <c r="D94" s="4" t="s">
        <v>83</v>
      </c>
      <c r="E94" s="4" t="s">
        <v>177</v>
      </c>
      <c r="F94" s="4" t="n">
        <v>5</v>
      </c>
      <c r="G94" s="4" t="n">
        <v>456</v>
      </c>
      <c r="H94" s="4" t="n">
        <v>773</v>
      </c>
      <c r="I94" s="4" t="n">
        <v>447</v>
      </c>
      <c r="J94" s="4"/>
    </row>
    <row r="95" customFormat="false" ht="15" hidden="false" customHeight="false" outlineLevel="0" collapsed="false">
      <c r="A95" s="4" t="s">
        <v>163</v>
      </c>
      <c r="B95" s="4" t="s">
        <v>152</v>
      </c>
      <c r="C95" s="4" t="n">
        <v>95</v>
      </c>
      <c r="D95" s="4" t="s">
        <v>188</v>
      </c>
      <c r="E95" s="4" t="s">
        <v>172</v>
      </c>
      <c r="F95" s="4" t="n">
        <v>782</v>
      </c>
      <c r="G95" s="4" t="n">
        <v>466</v>
      </c>
      <c r="H95" s="4" t="n">
        <v>748</v>
      </c>
      <c r="I95" s="4" t="n">
        <v>457</v>
      </c>
      <c r="J95" s="4"/>
    </row>
    <row r="96" customFormat="false" ht="15" hidden="false" customHeight="false" outlineLevel="0" collapsed="false">
      <c r="A96" s="4" t="s">
        <v>163</v>
      </c>
      <c r="B96" s="4" t="s">
        <v>152</v>
      </c>
      <c r="C96" s="4" t="n">
        <v>69</v>
      </c>
      <c r="D96" s="4" t="s">
        <v>119</v>
      </c>
      <c r="E96" s="4" t="s">
        <v>174</v>
      </c>
      <c r="F96" s="4" t="n">
        <v>5</v>
      </c>
      <c r="G96" s="4" t="n">
        <v>907</v>
      </c>
      <c r="H96" s="4" t="n">
        <v>714</v>
      </c>
      <c r="I96" s="4" t="n">
        <v>100</v>
      </c>
      <c r="J96" s="4"/>
    </row>
    <row r="97" customFormat="false" ht="15" hidden="false" customHeight="false" outlineLevel="0" collapsed="false">
      <c r="A97" s="4" t="s">
        <v>163</v>
      </c>
      <c r="B97" s="4" t="s">
        <v>152</v>
      </c>
      <c r="C97" s="4" t="n">
        <v>119</v>
      </c>
      <c r="D97" s="4" t="s">
        <v>96</v>
      </c>
      <c r="E97" s="4" t="s">
        <v>172</v>
      </c>
      <c r="F97" s="4" t="n">
        <v>1534</v>
      </c>
      <c r="G97" s="4" t="n">
        <v>912</v>
      </c>
      <c r="H97" s="4" t="n">
        <v>672</v>
      </c>
      <c r="I97" s="4" t="n">
        <v>294</v>
      </c>
      <c r="J97" s="4"/>
    </row>
    <row r="98" customFormat="false" ht="15" hidden="false" customHeight="false" outlineLevel="0" collapsed="false">
      <c r="A98" s="4" t="s">
        <v>163</v>
      </c>
      <c r="B98" s="4" t="s">
        <v>152</v>
      </c>
      <c r="C98" s="4" t="n">
        <v>59</v>
      </c>
      <c r="D98" s="4" t="s">
        <v>119</v>
      </c>
      <c r="E98" s="4" t="s">
        <v>161</v>
      </c>
      <c r="F98" s="4" t="n">
        <v>782</v>
      </c>
      <c r="G98" s="4" t="n">
        <v>927</v>
      </c>
      <c r="H98" s="4" t="n">
        <v>747</v>
      </c>
      <c r="I98" s="4" t="n">
        <v>87</v>
      </c>
      <c r="J98" s="4"/>
    </row>
    <row r="99" customFormat="false" ht="15" hidden="false" customHeight="false" outlineLevel="0" collapsed="false">
      <c r="A99" s="4" t="s">
        <v>163</v>
      </c>
      <c r="B99" s="4" t="s">
        <v>152</v>
      </c>
      <c r="C99" s="4" t="n">
        <v>142</v>
      </c>
      <c r="D99" s="4" t="s">
        <v>102</v>
      </c>
      <c r="E99" s="4" t="s">
        <v>215</v>
      </c>
      <c r="F99" s="4" t="n">
        <v>5</v>
      </c>
      <c r="G99" s="4" t="n">
        <v>1011</v>
      </c>
      <c r="H99" s="4" t="n">
        <v>634.8</v>
      </c>
      <c r="I99" s="4" t="n">
        <v>100</v>
      </c>
      <c r="J99" s="4"/>
    </row>
    <row r="100" customFormat="false" ht="15" hidden="false" customHeight="false" outlineLevel="0" collapsed="false">
      <c r="A100" s="4" t="s">
        <v>163</v>
      </c>
      <c r="B100" s="4" t="s">
        <v>152</v>
      </c>
      <c r="C100" s="4" t="n">
        <v>68</v>
      </c>
      <c r="D100" s="4" t="s">
        <v>119</v>
      </c>
      <c r="E100" s="4" t="s">
        <v>173</v>
      </c>
      <c r="F100" s="4" t="n">
        <v>782</v>
      </c>
      <c r="G100" s="4" t="n">
        <v>1018</v>
      </c>
      <c r="H100" s="4" t="n">
        <v>714</v>
      </c>
      <c r="I100" s="4" t="n">
        <v>100</v>
      </c>
      <c r="J100" s="4"/>
    </row>
    <row r="101" customFormat="false" ht="15" hidden="false" customHeight="false" outlineLevel="0" collapsed="false">
      <c r="A101" s="4" t="s">
        <v>163</v>
      </c>
      <c r="B101" s="4" t="s">
        <v>152</v>
      </c>
      <c r="C101" s="4" t="n">
        <v>12</v>
      </c>
      <c r="D101" s="4" t="s">
        <v>87</v>
      </c>
      <c r="E101" s="4" t="s">
        <v>168</v>
      </c>
      <c r="F101" s="4" t="n">
        <v>5</v>
      </c>
      <c r="G101" s="4" t="n">
        <v>1115</v>
      </c>
      <c r="H101" s="4" t="n">
        <v>454</v>
      </c>
      <c r="I101" s="4" t="n">
        <v>100</v>
      </c>
      <c r="J101" s="4"/>
    </row>
    <row r="102" customFormat="false" ht="15" hidden="false" customHeight="false" outlineLevel="0" collapsed="false">
      <c r="A102" s="4" t="s">
        <v>163</v>
      </c>
      <c r="B102" s="4" t="s">
        <v>152</v>
      </c>
      <c r="C102" s="4" t="n">
        <v>62</v>
      </c>
      <c r="D102" s="4" t="s">
        <v>119</v>
      </c>
      <c r="E102" s="4" t="s">
        <v>165</v>
      </c>
      <c r="F102" s="4" t="n">
        <v>782</v>
      </c>
      <c r="G102" s="4" t="n">
        <v>1122</v>
      </c>
      <c r="H102" s="4" t="n">
        <v>400</v>
      </c>
      <c r="I102" s="4" t="n">
        <v>73</v>
      </c>
      <c r="J102" s="4"/>
    </row>
    <row r="103" customFormat="false" ht="15" hidden="false" customHeight="false" outlineLevel="0" collapsed="false">
      <c r="A103" s="4" t="s">
        <v>163</v>
      </c>
      <c r="B103" s="4" t="s">
        <v>152</v>
      </c>
      <c r="C103" s="4" t="n">
        <v>8</v>
      </c>
      <c r="D103" s="4" t="s">
        <v>87</v>
      </c>
      <c r="E103" s="4" t="s">
        <v>162</v>
      </c>
      <c r="F103" s="4" t="n">
        <v>1186</v>
      </c>
      <c r="G103" s="4" t="n">
        <v>1122</v>
      </c>
      <c r="H103" s="4" t="n">
        <v>303</v>
      </c>
      <c r="I103" s="4" t="n">
        <v>73</v>
      </c>
      <c r="J103" s="4"/>
    </row>
    <row r="104" customFormat="false" ht="15" hidden="false" customHeight="false" outlineLevel="0" collapsed="false">
      <c r="A104" s="4" t="s">
        <v>155</v>
      </c>
      <c r="B104" s="4" t="s">
        <v>152</v>
      </c>
      <c r="C104" s="4" t="n">
        <v>113</v>
      </c>
      <c r="D104" s="4" t="s">
        <v>96</v>
      </c>
      <c r="E104" s="4" t="s">
        <v>151</v>
      </c>
      <c r="F104" s="4" t="n">
        <v>5</v>
      </c>
      <c r="G104" s="4" t="n">
        <v>5</v>
      </c>
      <c r="H104" s="4" t="n">
        <v>672</v>
      </c>
      <c r="I104" s="4" t="n">
        <v>620</v>
      </c>
      <c r="J104" s="4"/>
    </row>
    <row r="105" customFormat="false" ht="15" hidden="false" customHeight="false" outlineLevel="0" collapsed="false">
      <c r="A105" s="4" t="s">
        <v>155</v>
      </c>
      <c r="B105" s="4" t="s">
        <v>152</v>
      </c>
      <c r="C105" s="4" t="n">
        <v>115</v>
      </c>
      <c r="D105" s="4" t="s">
        <v>96</v>
      </c>
      <c r="E105" s="4" t="s">
        <v>176</v>
      </c>
      <c r="F105" s="4" t="n">
        <v>681</v>
      </c>
      <c r="G105" s="4" t="n">
        <v>5</v>
      </c>
      <c r="H105" s="4" t="n">
        <v>669</v>
      </c>
      <c r="I105" s="4" t="n">
        <v>617</v>
      </c>
      <c r="J105" s="4"/>
    </row>
    <row r="106" customFormat="false" ht="15" hidden="false" customHeight="false" outlineLevel="0" collapsed="false">
      <c r="A106" s="4" t="s">
        <v>155</v>
      </c>
      <c r="B106" s="4" t="s">
        <v>152</v>
      </c>
      <c r="C106" s="4" t="n">
        <v>104</v>
      </c>
      <c r="D106" s="4" t="s">
        <v>202</v>
      </c>
      <c r="E106" s="4" t="s">
        <v>206</v>
      </c>
      <c r="F106" s="4" t="n">
        <v>1354</v>
      </c>
      <c r="G106" s="4" t="n">
        <v>5</v>
      </c>
      <c r="H106" s="4" t="n">
        <v>609.6</v>
      </c>
      <c r="I106" s="4" t="n">
        <v>609.6</v>
      </c>
      <c r="J106" s="4"/>
    </row>
    <row r="107" customFormat="false" ht="15" hidden="false" customHeight="false" outlineLevel="0" collapsed="false">
      <c r="A107" s="4" t="s">
        <v>155</v>
      </c>
      <c r="B107" s="4" t="s">
        <v>152</v>
      </c>
      <c r="C107" s="4" t="n">
        <v>37</v>
      </c>
      <c r="D107" s="4" t="s">
        <v>186</v>
      </c>
      <c r="E107" s="4" t="s">
        <v>154</v>
      </c>
      <c r="F107" s="4" t="n">
        <v>1968</v>
      </c>
      <c r="G107" s="4" t="n">
        <v>5</v>
      </c>
      <c r="H107" s="4" t="n">
        <v>414</v>
      </c>
      <c r="I107" s="4" t="n">
        <v>574</v>
      </c>
      <c r="J107" s="4" t="s">
        <v>244</v>
      </c>
    </row>
    <row r="108" customFormat="false" ht="15" hidden="false" customHeight="false" outlineLevel="0" collapsed="false">
      <c r="A108" s="4" t="s">
        <v>155</v>
      </c>
      <c r="B108" s="4" t="s">
        <v>152</v>
      </c>
      <c r="C108" s="4" t="n">
        <v>2</v>
      </c>
      <c r="D108" s="4" t="s">
        <v>87</v>
      </c>
      <c r="E108" s="4" t="s">
        <v>154</v>
      </c>
      <c r="F108" s="4" t="n">
        <v>1354</v>
      </c>
      <c r="G108" s="4" t="n">
        <v>619</v>
      </c>
      <c r="H108" s="4" t="n">
        <v>574</v>
      </c>
      <c r="I108" s="4" t="n">
        <v>364</v>
      </c>
      <c r="J108" s="4"/>
    </row>
    <row r="109" customFormat="false" ht="15" hidden="false" customHeight="false" outlineLevel="0" collapsed="false">
      <c r="A109" s="4" t="s">
        <v>155</v>
      </c>
      <c r="B109" s="4" t="s">
        <v>152</v>
      </c>
      <c r="C109" s="4" t="n">
        <v>89</v>
      </c>
      <c r="D109" s="4" t="s">
        <v>188</v>
      </c>
      <c r="E109" s="4" t="s">
        <v>176</v>
      </c>
      <c r="F109" s="4" t="n">
        <v>1932</v>
      </c>
      <c r="G109" s="4" t="n">
        <v>619</v>
      </c>
      <c r="H109" s="4" t="n">
        <v>472</v>
      </c>
      <c r="I109" s="4" t="n">
        <v>454</v>
      </c>
      <c r="J109" s="4"/>
    </row>
    <row r="110" customFormat="false" ht="15" hidden="false" customHeight="false" outlineLevel="0" collapsed="false">
      <c r="A110" s="4" t="s">
        <v>155</v>
      </c>
      <c r="B110" s="4" t="s">
        <v>152</v>
      </c>
      <c r="C110" s="4" t="n">
        <v>71</v>
      </c>
      <c r="D110" s="4" t="s">
        <v>187</v>
      </c>
      <c r="E110" s="4" t="s">
        <v>154</v>
      </c>
      <c r="F110" s="4" t="n">
        <v>681</v>
      </c>
      <c r="G110" s="4" t="n">
        <v>626</v>
      </c>
      <c r="H110" s="4" t="n">
        <v>574</v>
      </c>
      <c r="I110" s="4" t="n">
        <v>414</v>
      </c>
      <c r="J110" s="4"/>
    </row>
    <row r="111" customFormat="false" ht="15" hidden="false" customHeight="false" outlineLevel="0" collapsed="false">
      <c r="A111" s="4" t="s">
        <v>155</v>
      </c>
      <c r="B111" s="4" t="s">
        <v>152</v>
      </c>
      <c r="C111" s="4" t="n">
        <v>24</v>
      </c>
      <c r="D111" s="4" t="s">
        <v>83</v>
      </c>
      <c r="E111" s="4" t="s">
        <v>164</v>
      </c>
      <c r="F111" s="4" t="n">
        <v>1259</v>
      </c>
      <c r="G111" s="4" t="n">
        <v>626</v>
      </c>
      <c r="H111" s="4" t="n">
        <v>73</v>
      </c>
      <c r="I111" s="4" t="n">
        <v>400</v>
      </c>
      <c r="J111" s="4" t="s">
        <v>244</v>
      </c>
    </row>
    <row r="112" customFormat="false" ht="15" hidden="false" customHeight="false" outlineLevel="0" collapsed="false">
      <c r="A112" s="4" t="s">
        <v>155</v>
      </c>
      <c r="B112" s="4" t="s">
        <v>152</v>
      </c>
      <c r="C112" s="4" t="n">
        <v>128</v>
      </c>
      <c r="D112" s="4" t="s">
        <v>211</v>
      </c>
      <c r="E112" s="4" t="s">
        <v>209</v>
      </c>
      <c r="F112" s="4" t="n">
        <v>5</v>
      </c>
      <c r="G112" s="4" t="n">
        <v>629</v>
      </c>
      <c r="H112" s="4" t="n">
        <v>616.8</v>
      </c>
      <c r="I112" s="4" t="n">
        <v>256</v>
      </c>
      <c r="J112" s="4"/>
    </row>
    <row r="113" customFormat="false" ht="15" hidden="false" customHeight="false" outlineLevel="0" collapsed="false">
      <c r="A113" s="4" t="s">
        <v>155</v>
      </c>
      <c r="B113" s="4" t="s">
        <v>152</v>
      </c>
      <c r="C113" s="4" t="n">
        <v>116</v>
      </c>
      <c r="D113" s="4" t="s">
        <v>96</v>
      </c>
      <c r="E113" s="4" t="s">
        <v>192</v>
      </c>
      <c r="F113" s="4" t="n">
        <v>5</v>
      </c>
      <c r="G113" s="4" t="n">
        <v>889</v>
      </c>
      <c r="H113" s="4" t="n">
        <v>584</v>
      </c>
      <c r="I113" s="4" t="n">
        <v>224</v>
      </c>
      <c r="J113" s="4"/>
    </row>
    <row r="114" customFormat="false" ht="15" hidden="false" customHeight="false" outlineLevel="0" collapsed="false">
      <c r="A114" s="4" t="s">
        <v>155</v>
      </c>
      <c r="B114" s="4" t="s">
        <v>152</v>
      </c>
      <c r="C114" s="4" t="n">
        <v>48</v>
      </c>
      <c r="D114" s="4" t="s">
        <v>186</v>
      </c>
      <c r="E114" s="4" t="s">
        <v>169</v>
      </c>
      <c r="F114" s="4" t="n">
        <v>1354</v>
      </c>
      <c r="G114" s="4" t="n">
        <v>987</v>
      </c>
      <c r="H114" s="4" t="n">
        <v>454</v>
      </c>
      <c r="I114" s="4" t="n">
        <v>100</v>
      </c>
      <c r="J114" s="4"/>
    </row>
    <row r="115" customFormat="false" ht="15" hidden="false" customHeight="false" outlineLevel="0" collapsed="false">
      <c r="A115" s="4" t="s">
        <v>155</v>
      </c>
      <c r="B115" s="4" t="s">
        <v>152</v>
      </c>
      <c r="C115" s="4" t="n">
        <v>13</v>
      </c>
      <c r="D115" s="4" t="s">
        <v>87</v>
      </c>
      <c r="E115" s="4" t="s">
        <v>169</v>
      </c>
      <c r="F115" s="4" t="n">
        <v>681</v>
      </c>
      <c r="G115" s="4" t="n">
        <v>1044</v>
      </c>
      <c r="H115" s="4" t="n">
        <v>454</v>
      </c>
      <c r="I115" s="4" t="n">
        <v>100</v>
      </c>
      <c r="J115" s="4"/>
    </row>
    <row r="116" customFormat="false" ht="15" hidden="false" customHeight="false" outlineLevel="0" collapsed="false">
      <c r="A116" s="4" t="s">
        <v>155</v>
      </c>
      <c r="B116" s="4" t="s">
        <v>152</v>
      </c>
      <c r="C116" s="4" t="n">
        <v>92</v>
      </c>
      <c r="D116" s="4" t="s">
        <v>188</v>
      </c>
      <c r="E116" s="4" t="s">
        <v>191</v>
      </c>
      <c r="F116" s="4" t="n">
        <v>1932</v>
      </c>
      <c r="G116" s="4" t="n">
        <v>1077</v>
      </c>
      <c r="H116" s="4" t="n">
        <v>457</v>
      </c>
      <c r="I116" s="4" t="n">
        <v>124</v>
      </c>
      <c r="J116" s="4"/>
    </row>
    <row r="117" customFormat="false" ht="15" hidden="false" customHeight="false" outlineLevel="0" collapsed="false">
      <c r="A117" s="4" t="s">
        <v>155</v>
      </c>
      <c r="B117" s="4" t="s">
        <v>152</v>
      </c>
      <c r="C117" s="4" t="n">
        <v>64</v>
      </c>
      <c r="D117" s="4" t="s">
        <v>119</v>
      </c>
      <c r="E117" s="4" t="s">
        <v>168</v>
      </c>
      <c r="F117" s="4" t="n">
        <v>1354</v>
      </c>
      <c r="G117" s="4" t="n">
        <v>1091</v>
      </c>
      <c r="H117" s="4" t="n">
        <v>454</v>
      </c>
      <c r="I117" s="4" t="n">
        <v>100</v>
      </c>
      <c r="J117" s="4"/>
    </row>
    <row r="118" customFormat="false" ht="15" hidden="false" customHeight="false" outlineLevel="0" collapsed="false">
      <c r="A118" s="4" t="s">
        <v>155</v>
      </c>
      <c r="B118" s="4" t="s">
        <v>152</v>
      </c>
      <c r="C118" s="4" t="n">
        <v>61</v>
      </c>
      <c r="D118" s="4" t="s">
        <v>119</v>
      </c>
      <c r="E118" s="4" t="s">
        <v>164</v>
      </c>
      <c r="F118" s="4" t="n">
        <v>5</v>
      </c>
      <c r="G118" s="4" t="n">
        <v>1117</v>
      </c>
      <c r="H118" s="4" t="n">
        <v>400</v>
      </c>
      <c r="I118" s="4" t="n">
        <v>73</v>
      </c>
      <c r="J118" s="4"/>
    </row>
    <row r="119" customFormat="false" ht="15" hidden="false" customHeight="false" outlineLevel="0" collapsed="false">
      <c r="A119" s="4" t="s">
        <v>157</v>
      </c>
      <c r="B119" s="4" t="s">
        <v>152</v>
      </c>
      <c r="C119" s="4" t="n">
        <v>90</v>
      </c>
      <c r="D119" s="4" t="s">
        <v>188</v>
      </c>
      <c r="E119" s="4" t="s">
        <v>177</v>
      </c>
      <c r="F119" s="4" t="n">
        <v>5</v>
      </c>
      <c r="G119" s="4" t="n">
        <v>5</v>
      </c>
      <c r="H119" s="4" t="n">
        <v>472</v>
      </c>
      <c r="I119" s="4" t="n">
        <v>454</v>
      </c>
      <c r="J119" s="4"/>
    </row>
    <row r="120" customFormat="false" ht="15" hidden="false" customHeight="false" outlineLevel="0" collapsed="false">
      <c r="A120" s="4" t="s">
        <v>157</v>
      </c>
      <c r="B120" s="4" t="s">
        <v>152</v>
      </c>
      <c r="C120" s="4" t="n">
        <v>72</v>
      </c>
      <c r="D120" s="4" t="s">
        <v>187</v>
      </c>
      <c r="E120" s="4" t="s">
        <v>156</v>
      </c>
      <c r="F120" s="4" t="n">
        <v>481</v>
      </c>
      <c r="G120" s="4" t="n">
        <v>5</v>
      </c>
      <c r="H120" s="4" t="n">
        <v>447</v>
      </c>
      <c r="I120" s="4" t="n">
        <v>307.4</v>
      </c>
      <c r="J120" s="4"/>
    </row>
    <row r="121" customFormat="false" ht="15" hidden="false" customHeight="false" outlineLevel="0" collapsed="false">
      <c r="A121" s="4" t="s">
        <v>157</v>
      </c>
      <c r="B121" s="4" t="s">
        <v>152</v>
      </c>
      <c r="C121" s="4" t="n">
        <v>52</v>
      </c>
      <c r="D121" s="4" t="s">
        <v>186</v>
      </c>
      <c r="E121" s="4" t="s">
        <v>174</v>
      </c>
      <c r="F121" s="4" t="n">
        <v>932</v>
      </c>
      <c r="G121" s="4" t="n">
        <v>5</v>
      </c>
      <c r="H121" s="4" t="n">
        <v>414</v>
      </c>
      <c r="I121" s="4" t="n">
        <v>100</v>
      </c>
      <c r="J121" s="4"/>
    </row>
    <row r="122" customFormat="false" ht="15" hidden="false" customHeight="false" outlineLevel="0" collapsed="false">
      <c r="A122" s="4" t="s">
        <v>157</v>
      </c>
      <c r="B122" s="4" t="s">
        <v>152</v>
      </c>
      <c r="C122" s="4" t="n">
        <v>85</v>
      </c>
      <c r="D122" s="4" t="s">
        <v>187</v>
      </c>
      <c r="E122" s="4" t="s">
        <v>173</v>
      </c>
      <c r="F122" s="4" t="n">
        <v>1350</v>
      </c>
      <c r="G122" s="4" t="n">
        <v>5</v>
      </c>
      <c r="H122" s="4" t="n">
        <v>414</v>
      </c>
      <c r="I122" s="4" t="n">
        <v>100</v>
      </c>
      <c r="J122" s="4"/>
    </row>
    <row r="123" customFormat="false" ht="15" hidden="false" customHeight="false" outlineLevel="0" collapsed="false">
      <c r="A123" s="4" t="s">
        <v>157</v>
      </c>
      <c r="B123" s="4" t="s">
        <v>152</v>
      </c>
      <c r="C123" s="4" t="n">
        <v>86</v>
      </c>
      <c r="D123" s="4" t="s">
        <v>187</v>
      </c>
      <c r="E123" s="4" t="s">
        <v>174</v>
      </c>
      <c r="F123" s="4" t="n">
        <v>1768</v>
      </c>
      <c r="G123" s="4" t="n">
        <v>5</v>
      </c>
      <c r="H123" s="4" t="n">
        <v>414</v>
      </c>
      <c r="I123" s="4" t="n">
        <v>100</v>
      </c>
      <c r="J123" s="4"/>
    </row>
    <row r="124" customFormat="false" ht="15" hidden="false" customHeight="false" outlineLevel="0" collapsed="false">
      <c r="A124" s="4" t="s">
        <v>157</v>
      </c>
      <c r="B124" s="4" t="s">
        <v>152</v>
      </c>
      <c r="C124" s="4" t="n">
        <v>11</v>
      </c>
      <c r="D124" s="4" t="s">
        <v>87</v>
      </c>
      <c r="E124" s="4" t="s">
        <v>167</v>
      </c>
      <c r="F124" s="4" t="n">
        <v>932</v>
      </c>
      <c r="G124" s="4" t="n">
        <v>109</v>
      </c>
      <c r="H124" s="4" t="n">
        <v>400</v>
      </c>
      <c r="I124" s="4" t="n">
        <v>100</v>
      </c>
      <c r="J124" s="4"/>
    </row>
    <row r="125" customFormat="false" ht="15" hidden="false" customHeight="false" outlineLevel="0" collapsed="false">
      <c r="A125" s="4" t="s">
        <v>157</v>
      </c>
      <c r="B125" s="4" t="s">
        <v>152</v>
      </c>
      <c r="C125" s="4" t="n">
        <v>7</v>
      </c>
      <c r="D125" s="4" t="s">
        <v>87</v>
      </c>
      <c r="E125" s="4" t="s">
        <v>161</v>
      </c>
      <c r="F125" s="4" t="n">
        <v>1336</v>
      </c>
      <c r="G125" s="4" t="n">
        <v>109</v>
      </c>
      <c r="H125" s="4" t="n">
        <v>397</v>
      </c>
      <c r="I125" s="4" t="n">
        <v>87</v>
      </c>
      <c r="J125" s="4"/>
    </row>
    <row r="126" customFormat="false" ht="15" hidden="false" customHeight="false" outlineLevel="0" collapsed="false">
      <c r="A126" s="4" t="s">
        <v>157</v>
      </c>
      <c r="B126" s="4" t="s">
        <v>152</v>
      </c>
      <c r="C126" s="4" t="n">
        <v>43</v>
      </c>
      <c r="D126" s="4" t="s">
        <v>186</v>
      </c>
      <c r="E126" s="4" t="s">
        <v>162</v>
      </c>
      <c r="F126" s="4" t="n">
        <v>1737</v>
      </c>
      <c r="G126" s="4" t="n">
        <v>109</v>
      </c>
      <c r="H126" s="4" t="n">
        <v>353</v>
      </c>
      <c r="I126" s="4" t="n">
        <v>73</v>
      </c>
      <c r="J126" s="4"/>
    </row>
    <row r="127" customFormat="false" ht="15" hidden="false" customHeight="false" outlineLevel="0" collapsed="false">
      <c r="A127" s="4" t="s">
        <v>157</v>
      </c>
      <c r="B127" s="4" t="s">
        <v>152</v>
      </c>
      <c r="C127" s="4" t="n">
        <v>6</v>
      </c>
      <c r="D127" s="4" t="s">
        <v>87</v>
      </c>
      <c r="E127" s="4" t="s">
        <v>160</v>
      </c>
      <c r="F127" s="4" t="n">
        <v>2094</v>
      </c>
      <c r="G127" s="4" t="n">
        <v>109</v>
      </c>
      <c r="H127" s="4" t="n">
        <v>303</v>
      </c>
      <c r="I127" s="4" t="n">
        <v>73</v>
      </c>
      <c r="J127" s="4"/>
    </row>
    <row r="128" customFormat="false" ht="15" hidden="false" customHeight="false" outlineLevel="0" collapsed="false">
      <c r="A128" s="4" t="s">
        <v>157</v>
      </c>
      <c r="B128" s="4" t="s">
        <v>152</v>
      </c>
      <c r="C128" s="4" t="n">
        <v>106</v>
      </c>
      <c r="D128" s="4" t="s">
        <v>208</v>
      </c>
      <c r="E128" s="4" t="s">
        <v>154</v>
      </c>
      <c r="F128" s="4" t="n">
        <v>1336</v>
      </c>
      <c r="G128" s="4" t="n">
        <v>200</v>
      </c>
      <c r="H128" s="4" t="n">
        <v>364</v>
      </c>
      <c r="I128" s="4" t="n">
        <v>294</v>
      </c>
      <c r="J128" s="4"/>
    </row>
    <row r="129" customFormat="false" ht="15" hidden="false" customHeight="false" outlineLevel="0" collapsed="false">
      <c r="A129" s="4" t="s">
        <v>157</v>
      </c>
      <c r="B129" s="4" t="s">
        <v>152</v>
      </c>
      <c r="C129" s="4" t="n">
        <v>17</v>
      </c>
      <c r="D129" s="4" t="s">
        <v>87</v>
      </c>
      <c r="E129" s="4" t="s">
        <v>174</v>
      </c>
      <c r="F129" s="4" t="n">
        <v>1704</v>
      </c>
      <c r="G129" s="4" t="n">
        <v>200</v>
      </c>
      <c r="H129" s="4" t="n">
        <v>364</v>
      </c>
      <c r="I129" s="4" t="n">
        <v>100</v>
      </c>
      <c r="J129" s="4"/>
    </row>
    <row r="130" customFormat="false" ht="15" hidden="false" customHeight="false" outlineLevel="0" collapsed="false">
      <c r="A130" s="4" t="s">
        <v>157</v>
      </c>
      <c r="B130" s="4" t="s">
        <v>152</v>
      </c>
      <c r="C130" s="4" t="n">
        <v>41</v>
      </c>
      <c r="D130" s="4" t="s">
        <v>186</v>
      </c>
      <c r="E130" s="4" t="s">
        <v>160</v>
      </c>
      <c r="F130" s="4" t="n">
        <v>2072</v>
      </c>
      <c r="G130" s="4" t="n">
        <v>200</v>
      </c>
      <c r="H130" s="4" t="n">
        <v>353</v>
      </c>
      <c r="I130" s="4" t="n">
        <v>73</v>
      </c>
      <c r="J130" s="4"/>
    </row>
    <row r="131" customFormat="false" ht="15" hidden="false" customHeight="false" outlineLevel="0" collapsed="false">
      <c r="A131" s="4" t="s">
        <v>157</v>
      </c>
      <c r="B131" s="4" t="s">
        <v>152</v>
      </c>
      <c r="C131" s="4" t="n">
        <v>78</v>
      </c>
      <c r="D131" s="4" t="s">
        <v>187</v>
      </c>
      <c r="E131" s="4" t="s">
        <v>164</v>
      </c>
      <c r="F131" s="4" t="n">
        <v>932</v>
      </c>
      <c r="G131" s="4" t="n">
        <v>213</v>
      </c>
      <c r="H131" s="4" t="n">
        <v>400</v>
      </c>
      <c r="I131" s="4" t="n">
        <v>73</v>
      </c>
      <c r="J131" s="4"/>
    </row>
    <row r="132" customFormat="false" ht="15" hidden="false" customHeight="false" outlineLevel="0" collapsed="false">
      <c r="A132" s="4" t="s">
        <v>157</v>
      </c>
      <c r="B132" s="4" t="s">
        <v>152</v>
      </c>
      <c r="C132" s="4" t="n">
        <v>79</v>
      </c>
      <c r="D132" s="4" t="s">
        <v>187</v>
      </c>
      <c r="E132" s="4" t="s">
        <v>165</v>
      </c>
      <c r="F132" s="4" t="n">
        <v>932</v>
      </c>
      <c r="G132" s="4" t="n">
        <v>290</v>
      </c>
      <c r="H132" s="4" t="n">
        <v>400</v>
      </c>
      <c r="I132" s="4" t="n">
        <v>73</v>
      </c>
      <c r="J132" s="4"/>
    </row>
    <row r="133" customFormat="false" ht="15" hidden="false" customHeight="false" outlineLevel="0" collapsed="false">
      <c r="A133" s="4" t="s">
        <v>157</v>
      </c>
      <c r="B133" s="4" t="s">
        <v>152</v>
      </c>
      <c r="C133" s="4" t="n">
        <v>75</v>
      </c>
      <c r="D133" s="4" t="s">
        <v>187</v>
      </c>
      <c r="E133" s="4" t="s">
        <v>160</v>
      </c>
      <c r="F133" s="4" t="n">
        <v>1704</v>
      </c>
      <c r="G133" s="4" t="n">
        <v>304</v>
      </c>
      <c r="H133" s="4" t="n">
        <v>353</v>
      </c>
      <c r="I133" s="4" t="n">
        <v>73</v>
      </c>
      <c r="J133" s="4"/>
    </row>
    <row r="134" customFormat="false" ht="15" hidden="false" customHeight="false" outlineLevel="0" collapsed="false">
      <c r="A134" s="4" t="s">
        <v>157</v>
      </c>
      <c r="B134" s="4" t="s">
        <v>152</v>
      </c>
      <c r="C134" s="4" t="n">
        <v>77</v>
      </c>
      <c r="D134" s="4" t="s">
        <v>187</v>
      </c>
      <c r="E134" s="4" t="s">
        <v>162</v>
      </c>
      <c r="F134" s="4" t="n">
        <v>2061</v>
      </c>
      <c r="G134" s="4" t="n">
        <v>304</v>
      </c>
      <c r="H134" s="4" t="n">
        <v>353</v>
      </c>
      <c r="I134" s="4" t="n">
        <v>73</v>
      </c>
      <c r="J134" s="4"/>
    </row>
    <row r="135" customFormat="false" ht="15" hidden="false" customHeight="false" outlineLevel="0" collapsed="false">
      <c r="A135" s="4" t="s">
        <v>157</v>
      </c>
      <c r="B135" s="4" t="s">
        <v>152</v>
      </c>
      <c r="C135" s="4" t="n">
        <v>39</v>
      </c>
      <c r="D135" s="4" t="s">
        <v>186</v>
      </c>
      <c r="E135" s="4" t="s">
        <v>158</v>
      </c>
      <c r="F135" s="4" t="n">
        <v>481</v>
      </c>
      <c r="G135" s="4" t="n">
        <v>316</v>
      </c>
      <c r="H135" s="4" t="n">
        <v>447</v>
      </c>
      <c r="I135" s="4" t="n">
        <v>268.6</v>
      </c>
      <c r="J135" s="4"/>
    </row>
    <row r="136" customFormat="false" ht="15" hidden="false" customHeight="false" outlineLevel="0" collapsed="false">
      <c r="A136" s="4" t="s">
        <v>157</v>
      </c>
      <c r="B136" s="4" t="s">
        <v>152</v>
      </c>
      <c r="C136" s="4" t="n">
        <v>3</v>
      </c>
      <c r="D136" s="4" t="s">
        <v>87</v>
      </c>
      <c r="E136" s="4" t="s">
        <v>156</v>
      </c>
      <c r="F136" s="4" t="n">
        <v>932</v>
      </c>
      <c r="G136" s="4" t="n">
        <v>367</v>
      </c>
      <c r="H136" s="4" t="n">
        <v>397</v>
      </c>
      <c r="I136" s="4" t="n">
        <v>307.4</v>
      </c>
      <c r="J136" s="4"/>
    </row>
    <row r="137" customFormat="false" ht="15" hidden="false" customHeight="false" outlineLevel="0" collapsed="false">
      <c r="A137" s="4" t="s">
        <v>157</v>
      </c>
      <c r="B137" s="4" t="s">
        <v>152</v>
      </c>
      <c r="C137" s="4" t="n">
        <v>46</v>
      </c>
      <c r="D137" s="4" t="s">
        <v>186</v>
      </c>
      <c r="E137" s="4" t="s">
        <v>167</v>
      </c>
      <c r="F137" s="4" t="n">
        <v>5</v>
      </c>
      <c r="G137" s="4" t="n">
        <v>463</v>
      </c>
      <c r="H137" s="4" t="n">
        <v>450</v>
      </c>
      <c r="I137" s="4" t="n">
        <v>100</v>
      </c>
      <c r="J137" s="4"/>
    </row>
    <row r="138" customFormat="false" ht="15" hidden="false" customHeight="false" outlineLevel="0" collapsed="false">
      <c r="A138" s="4" t="s">
        <v>157</v>
      </c>
      <c r="B138" s="4" t="s">
        <v>152</v>
      </c>
      <c r="C138" s="4" t="n">
        <v>112</v>
      </c>
      <c r="D138" s="4" t="s">
        <v>208</v>
      </c>
      <c r="E138" s="4" t="s">
        <v>193</v>
      </c>
      <c r="F138" s="4" t="n">
        <v>1336</v>
      </c>
      <c r="G138" s="4" t="n">
        <v>498</v>
      </c>
      <c r="H138" s="4" t="n">
        <v>364</v>
      </c>
      <c r="I138" s="4" t="n">
        <v>294</v>
      </c>
      <c r="J138" s="4"/>
    </row>
    <row r="139" customFormat="false" ht="15" hidden="false" customHeight="false" outlineLevel="0" collapsed="false">
      <c r="A139" s="4" t="s">
        <v>157</v>
      </c>
      <c r="B139" s="4" t="s">
        <v>152</v>
      </c>
      <c r="C139" s="4" t="n">
        <v>80</v>
      </c>
      <c r="D139" s="4" t="s">
        <v>187</v>
      </c>
      <c r="E139" s="4" t="s">
        <v>167</v>
      </c>
      <c r="F139" s="4" t="n">
        <v>5</v>
      </c>
      <c r="G139" s="4" t="n">
        <v>567</v>
      </c>
      <c r="H139" s="4" t="n">
        <v>450</v>
      </c>
      <c r="I139" s="4" t="n">
        <v>100</v>
      </c>
      <c r="J139" s="4"/>
    </row>
    <row r="140" customFormat="false" ht="15" hidden="false" customHeight="false" outlineLevel="0" collapsed="false">
      <c r="A140" s="4" t="s">
        <v>157</v>
      </c>
      <c r="B140" s="4" t="s">
        <v>152</v>
      </c>
      <c r="C140" s="4" t="n">
        <v>73</v>
      </c>
      <c r="D140" s="4" t="s">
        <v>187</v>
      </c>
      <c r="E140" s="4" t="s">
        <v>158</v>
      </c>
      <c r="F140" s="4" t="n">
        <v>481</v>
      </c>
      <c r="G140" s="4" t="n">
        <v>589</v>
      </c>
      <c r="H140" s="4" t="n">
        <v>447</v>
      </c>
      <c r="I140" s="4" t="n">
        <v>268.6</v>
      </c>
      <c r="J140" s="4"/>
    </row>
    <row r="141" customFormat="false" ht="15" hidden="false" customHeight="false" outlineLevel="0" collapsed="false">
      <c r="A141" s="4" t="s">
        <v>157</v>
      </c>
      <c r="B141" s="4" t="s">
        <v>152</v>
      </c>
      <c r="C141" s="4" t="n">
        <v>38</v>
      </c>
      <c r="D141" s="4" t="s">
        <v>186</v>
      </c>
      <c r="E141" s="4" t="s">
        <v>156</v>
      </c>
      <c r="F141" s="4" t="n">
        <v>5</v>
      </c>
      <c r="G141" s="4" t="n">
        <v>671</v>
      </c>
      <c r="H141" s="4" t="n">
        <v>447</v>
      </c>
      <c r="I141" s="4" t="n">
        <v>307.4</v>
      </c>
      <c r="J141" s="4"/>
    </row>
    <row r="142" customFormat="false" ht="15" hidden="false" customHeight="false" outlineLevel="0" collapsed="false">
      <c r="A142" s="4" t="s">
        <v>157</v>
      </c>
      <c r="B142" s="4" t="s">
        <v>152</v>
      </c>
      <c r="C142" s="4" t="n">
        <v>4</v>
      </c>
      <c r="D142" s="4" t="s">
        <v>87</v>
      </c>
      <c r="E142" s="4" t="s">
        <v>158</v>
      </c>
      <c r="F142" s="4" t="n">
        <v>932</v>
      </c>
      <c r="G142" s="4" t="n">
        <v>678</v>
      </c>
      <c r="H142" s="4" t="n">
        <v>397</v>
      </c>
      <c r="I142" s="4" t="n">
        <v>268.6</v>
      </c>
      <c r="J142" s="4"/>
    </row>
    <row r="143" customFormat="false" ht="15" hidden="false" customHeight="false" outlineLevel="0" collapsed="false">
      <c r="A143" s="4" t="s">
        <v>157</v>
      </c>
      <c r="B143" s="4" t="s">
        <v>152</v>
      </c>
      <c r="C143" s="4" t="n">
        <v>109</v>
      </c>
      <c r="D143" s="4" t="s">
        <v>208</v>
      </c>
      <c r="E143" s="4" t="s">
        <v>209</v>
      </c>
      <c r="F143" s="4" t="n">
        <v>1336</v>
      </c>
      <c r="G143" s="4" t="n">
        <v>796</v>
      </c>
      <c r="H143" s="4" t="n">
        <v>364</v>
      </c>
      <c r="I143" s="4" t="n">
        <v>256</v>
      </c>
      <c r="J143" s="4"/>
    </row>
    <row r="144" customFormat="false" ht="15" hidden="false" customHeight="false" outlineLevel="0" collapsed="false">
      <c r="A144" s="4" t="s">
        <v>157</v>
      </c>
      <c r="B144" s="4" t="s">
        <v>152</v>
      </c>
      <c r="C144" s="4" t="n">
        <v>74</v>
      </c>
      <c r="D144" s="4" t="s">
        <v>187</v>
      </c>
      <c r="E144" s="4" t="s">
        <v>159</v>
      </c>
      <c r="F144" s="4" t="n">
        <v>481</v>
      </c>
      <c r="G144" s="4" t="n">
        <v>862</v>
      </c>
      <c r="H144" s="4" t="n">
        <v>447</v>
      </c>
      <c r="I144" s="4" t="n">
        <v>191</v>
      </c>
      <c r="J144" s="4"/>
    </row>
    <row r="145" customFormat="false" ht="15" hidden="false" customHeight="false" outlineLevel="0" collapsed="false">
      <c r="A145" s="4" t="s">
        <v>157</v>
      </c>
      <c r="B145" s="4" t="s">
        <v>152</v>
      </c>
      <c r="C145" s="4" t="n">
        <v>5</v>
      </c>
      <c r="D145" s="4" t="s">
        <v>87</v>
      </c>
      <c r="E145" s="4" t="s">
        <v>159</v>
      </c>
      <c r="F145" s="4" t="n">
        <v>932</v>
      </c>
      <c r="G145" s="4" t="n">
        <v>951</v>
      </c>
      <c r="H145" s="4" t="n">
        <v>397</v>
      </c>
      <c r="I145" s="4" t="n">
        <v>191</v>
      </c>
      <c r="J145" s="4"/>
    </row>
    <row r="146" customFormat="false" ht="15" hidden="false" customHeight="false" outlineLevel="0" collapsed="false">
      <c r="A146" s="4" t="s">
        <v>157</v>
      </c>
      <c r="B146" s="4" t="s">
        <v>152</v>
      </c>
      <c r="C146" s="4" t="n">
        <v>40</v>
      </c>
      <c r="D146" s="4" t="s">
        <v>186</v>
      </c>
      <c r="E146" s="4" t="s">
        <v>159</v>
      </c>
      <c r="F146" s="4" t="n">
        <v>5</v>
      </c>
      <c r="G146" s="4" t="n">
        <v>982</v>
      </c>
      <c r="H146" s="4" t="n">
        <v>447</v>
      </c>
      <c r="I146" s="4" t="n">
        <v>191</v>
      </c>
      <c r="J146" s="4"/>
    </row>
    <row r="147" customFormat="false" ht="15" hidden="false" customHeight="false" outlineLevel="0" collapsed="false">
      <c r="A147" s="4" t="s">
        <v>157</v>
      </c>
      <c r="B147" s="4" t="s">
        <v>152</v>
      </c>
      <c r="C147" s="4" t="n">
        <v>16</v>
      </c>
      <c r="D147" s="4" t="s">
        <v>87</v>
      </c>
      <c r="E147" s="4" t="s">
        <v>173</v>
      </c>
      <c r="F147" s="4" t="n">
        <v>1336</v>
      </c>
      <c r="G147" s="4" t="n">
        <v>1056</v>
      </c>
      <c r="H147" s="4" t="n">
        <v>364</v>
      </c>
      <c r="I147" s="4" t="n">
        <v>100</v>
      </c>
      <c r="J147" s="4"/>
    </row>
    <row r="148" customFormat="false" ht="15" hidden="false" customHeight="false" outlineLevel="0" collapsed="false">
      <c r="A148" s="4" t="s">
        <v>157</v>
      </c>
      <c r="B148" s="4" t="s">
        <v>152</v>
      </c>
      <c r="C148" s="4" t="n">
        <v>51</v>
      </c>
      <c r="D148" s="4" t="s">
        <v>186</v>
      </c>
      <c r="E148" s="4" t="s">
        <v>173</v>
      </c>
      <c r="F148" s="4" t="n">
        <v>481</v>
      </c>
      <c r="G148" s="4" t="n">
        <v>1057</v>
      </c>
      <c r="H148" s="4" t="n">
        <v>414</v>
      </c>
      <c r="I148" s="4" t="n">
        <v>100</v>
      </c>
      <c r="J148" s="4"/>
    </row>
    <row r="149" customFormat="false" ht="15" hidden="false" customHeight="false" outlineLevel="0" collapsed="false">
      <c r="A149" s="4" t="s">
        <v>218</v>
      </c>
      <c r="B149" s="4" t="s">
        <v>217</v>
      </c>
      <c r="C149" s="4" t="n">
        <v>144</v>
      </c>
      <c r="D149" s="4" t="s">
        <v>83</v>
      </c>
      <c r="E149" s="4" t="s">
        <v>216</v>
      </c>
      <c r="F149" s="4" t="n">
        <v>5</v>
      </c>
      <c r="G149" s="4" t="n">
        <v>5</v>
      </c>
      <c r="H149" s="4" t="n">
        <v>839</v>
      </c>
      <c r="I149" s="4" t="n">
        <v>400</v>
      </c>
      <c r="J149" s="4"/>
    </row>
    <row r="150" customFormat="false" ht="15" hidden="false" customHeight="false" outlineLevel="0" collapsed="false">
      <c r="A150" s="4" t="s">
        <v>218</v>
      </c>
      <c r="B150" s="4" t="s">
        <v>217</v>
      </c>
      <c r="C150" s="4" t="n">
        <v>143</v>
      </c>
      <c r="D150" s="4" t="s">
        <v>87</v>
      </c>
      <c r="E150" s="4" t="s">
        <v>216</v>
      </c>
      <c r="F150" s="4" t="n">
        <v>848</v>
      </c>
      <c r="G150" s="4" t="n">
        <v>5</v>
      </c>
      <c r="H150" s="4" t="n">
        <v>400</v>
      </c>
      <c r="I150" s="4" t="n">
        <v>339</v>
      </c>
      <c r="J150" s="4"/>
    </row>
    <row r="151" customFormat="false" ht="15" hidden="false" customHeight="false" outlineLevel="0" collapsed="false">
      <c r="A151" s="4" t="s">
        <v>218</v>
      </c>
      <c r="B151" s="4" t="s">
        <v>217</v>
      </c>
      <c r="C151" s="4" t="n">
        <v>146</v>
      </c>
      <c r="D151" s="4" t="s">
        <v>119</v>
      </c>
      <c r="E151" s="4" t="s">
        <v>216</v>
      </c>
      <c r="F151" s="4" t="n">
        <v>5</v>
      </c>
      <c r="G151" s="4" t="n">
        <v>409</v>
      </c>
      <c r="H151" s="4" t="n">
        <v>689</v>
      </c>
      <c r="I151" s="4" t="n">
        <v>400</v>
      </c>
      <c r="J151" s="4"/>
    </row>
    <row r="152" customFormat="false" ht="15" hidden="false" customHeight="false" outlineLevel="0" collapsed="false">
      <c r="A152" s="4" t="s">
        <v>218</v>
      </c>
      <c r="B152" s="4" t="s">
        <v>217</v>
      </c>
      <c r="C152" s="4" t="n">
        <v>145</v>
      </c>
      <c r="D152" s="4" t="s">
        <v>186</v>
      </c>
      <c r="E152" s="4" t="s">
        <v>216</v>
      </c>
      <c r="F152" s="4" t="n">
        <v>5</v>
      </c>
      <c r="G152" s="4" t="n">
        <v>813</v>
      </c>
      <c r="H152" s="4" t="n">
        <v>400</v>
      </c>
      <c r="I152" s="4" t="n">
        <v>389</v>
      </c>
      <c r="J152" s="4"/>
    </row>
    <row r="153" customFormat="false" ht="15" hidden="false" customHeight="false" outlineLevel="0" collapsed="false">
      <c r="A153" s="4" t="s">
        <v>218</v>
      </c>
      <c r="B153" s="4" t="s">
        <v>217</v>
      </c>
      <c r="C153" s="4" t="n">
        <v>147</v>
      </c>
      <c r="D153" s="4" t="s">
        <v>187</v>
      </c>
      <c r="E153" s="4" t="s">
        <v>216</v>
      </c>
      <c r="F153" s="4" t="n">
        <v>409</v>
      </c>
      <c r="G153" s="4" t="n">
        <v>813</v>
      </c>
      <c r="H153" s="4" t="n">
        <v>400</v>
      </c>
      <c r="I153" s="4" t="n">
        <v>389</v>
      </c>
      <c r="J15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2026-10-19T07:23:18Z</dcterms:created>
  <dc:creator>openpyxl</dc:creator>
  <dc:description/>
  <dc:language>en-PH</dc:language>
  <cp:lastModifiedBy/>
  <dcterms:modified xsi:type="dcterms:W3CDTF">2026-10-19T07:23:18Z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