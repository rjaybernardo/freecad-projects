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s" sheetId="1" state="visible" r:id="rId3"/>
    <sheet name="Cut List" sheetId="2" state="visible" r:id="rId4"/>
    <sheet name="Sheet Layout" sheetId="3" state="visible" r:id="rId5"/>
    <sheet name="Materials" sheetId="4" state="visible" r:id="rId6"/>
  </sheets>
  <definedNames>
    <definedName function="false" hidden="false" localSheetId="1" name="_xlnm.Print_Titles" vbProcedure="false">'Cut List'!$4:$4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<sst xmlns="http://schemas.openxmlformats.org/spreadsheetml/2006/main" count="579" uniqueCount="216">
  <si>
    <t xml:space="preserve">Bedroom Cabinet v3 - Notes for the carpenter</t>
  </si>
  <si>
    <t xml:space="preserve">Overall: 2080 W x 2380 H x 470 D (incl. doors). Cabinet itself 2070 x 2370; 10 mm scribe strips close the gaps at the right wall and ceiling.</t>
  </si>
  <si>
    <t xml:space="preserve">Source model: Bedroom_Cabinet_Modern_v3.FCStd (FreeCAD), generated by build_cabinet_v3.py.</t>
  </si>
  <si>
    <t xml:space="preserve">SIZES</t>
  </si>
  <si>
    <t xml:space="preserve">All sizes are FINISHED sizes, i.e. after laminating (panel = 18 mm ply + 0.8 mm HPL each face = 19.6 mm).</t>
  </si>
  <si>
    <t xml:space="preserve">Recommended: laminate whole 4x8 sheets first, then cut parts to the list. Edges come out clean and waste is lower.</t>
  </si>
  <si>
    <t xml:space="preserve">Measure the wall again before cutting. If it differs from 2080 x 2380, regenerate from the FreeCAD script.</t>
  </si>
  <si>
    <t xml:space="preserve">HANDLELESS 45° BEVEL (red text in the cut list)</t>
  </si>
  <si>
    <t xml:space="preserve">Cut the bevel on the BACK face of the named edge, 15 mm deep, leaving a ~4.6 mm front lip. Do it after laminating.</t>
  </si>
  <si>
    <t xml:space="preserve">Seal the bevel (edge band or paint). Bare plywood edges absorb moisture even when marine grade.</t>
  </si>
  <si>
    <t xml:space="preserve">Tall doors hinge on the WALL side and are pulled from the open centre. Top cabinets are pulled from below.</t>
  </si>
  <si>
    <t xml:space="preserve">25 mm finger gap above each drawer-tower front and below the side top-cabinet doors. Don't close these gaps.</t>
  </si>
  <si>
    <t xml:space="preserve">CONSTRUCTION</t>
  </si>
  <si>
    <t xml:space="preserve">Carcass: sides full height; top / bottom fit between the sides; back panel screwed onto the rear (full 3/4" back).</t>
  </si>
  <si>
    <t xml:space="preserve">Centre back panel is in 2 halves (1300 is wider than a sheet). The joint sits behind the TV; add a 3/4" cleat strip behind the joint.</t>
  </si>
  <si>
    <t xml:space="preserve">Tall units are 1990 mm high so they can be tilted upright under the ceiling; top cabinets go on afterwards.</t>
  </si>
  <si>
    <t xml:space="preserve">Table top and TV ledge span between the left wardrobe and the right tower / drawer tower; fix with confirmat screws through the sides.</t>
  </si>
  <si>
    <t xml:space="preserve">Drawer boxes are 12.5 mm narrower each side than the opening (ball-bearing slides).</t>
  </si>
  <si>
    <t xml:space="preserve">Fastener quantities are estimates. Adjust the blue numbers on the Materials tab.</t>
  </si>
  <si>
    <t xml:space="preserve">Bedroom Cabinet v3 (Modern, handleless) - Cut List</t>
  </si>
  <si>
    <t xml:space="preserve">3/4" marine plywood + HPL laminate both faces. All sizes in mm = FINISHED size (laminated). Thickness 18 ply + 2 x 0.8 laminate.</t>
  </si>
  <si>
    <t xml:space="preserve">#</t>
  </si>
  <si>
    <t xml:space="preserve">Part</t>
  </si>
  <si>
    <t xml:space="preserve">Qty</t>
  </si>
  <si>
    <t xml:space="preserve">Length (mm)</t>
  </si>
  <si>
    <t xml:space="preserve">Width (mm)</t>
  </si>
  <si>
    <t xml:space="preserve">Thk (mm)</t>
  </si>
  <si>
    <t xml:space="preserve">Edge banding</t>
  </si>
  <si>
    <t xml:space="preserve">Edge band per pc (mm)</t>
  </si>
  <si>
    <t xml:space="preserve">Special edge work</t>
  </si>
  <si>
    <t xml:space="preserve">Area per pc (m²)</t>
  </si>
  <si>
    <t xml:space="preserve">Total area (m²)</t>
  </si>
  <si>
    <t xml:space="preserve">Total edge band (m)</t>
  </si>
  <si>
    <t xml:space="preserve">A  Left wardrobe (hanging)</t>
  </si>
  <si>
    <t xml:space="preserve">Back</t>
  </si>
  <si>
    <t xml:space="preserve">-</t>
  </si>
  <si>
    <t xml:space="preserve">Door</t>
  </si>
  <si>
    <t xml:space="preserve">All 4 edges</t>
  </si>
  <si>
    <t xml:space="preserve">45° bevel right edge, cut on back face</t>
  </si>
  <si>
    <t xml:space="preserve">Side (left)</t>
  </si>
  <si>
    <t xml:space="preserve">1 long edge (front)</t>
  </si>
  <si>
    <t xml:space="preserve">Side (right)</t>
  </si>
  <si>
    <t xml:space="preserve">Bottom</t>
  </si>
  <si>
    <t xml:space="preserve">Top</t>
  </si>
  <si>
    <t xml:space="preserve">Shelf Top</t>
  </si>
  <si>
    <t xml:space="preserve">Shelf Above Drawers</t>
  </si>
  <si>
    <t xml:space="preserve">Drawer Bottom</t>
  </si>
  <si>
    <t xml:space="preserve">Drawer Front</t>
  </si>
  <si>
    <t xml:space="preserve">45° bevel top edge, cut on back face</t>
  </si>
  <si>
    <t xml:space="preserve">Drawer Back</t>
  </si>
  <si>
    <t xml:space="preserve">1 long edge (top)</t>
  </si>
  <si>
    <t xml:space="preserve">Drawer Side (left)</t>
  </si>
  <si>
    <t xml:space="preserve">Drawer Side (right)</t>
  </si>
  <si>
    <t xml:space="preserve">Plinth Front</t>
  </si>
  <si>
    <t xml:space="preserve">Plinth Back</t>
  </si>
  <si>
    <t xml:space="preserve">B  Centre: TV niche + makeup table</t>
  </si>
  <si>
    <t xml:space="preserve">Back panel (left half)</t>
  </si>
  <si>
    <t xml:space="preserve">Back panel (right half)</t>
  </si>
  <si>
    <t xml:space="preserve">TV Ledge</t>
  </si>
  <si>
    <t xml:space="preserve">Table Top</t>
  </si>
  <si>
    <t xml:space="preserve">Table drawer Bottom</t>
  </si>
  <si>
    <t xml:space="preserve">Divider</t>
  </si>
  <si>
    <t xml:space="preserve">Makeup Shelf</t>
  </si>
  <si>
    <t xml:space="preserve">Table drawer Front</t>
  </si>
  <si>
    <t xml:space="preserve">45° bevel bottom edge, cut on back face</t>
  </si>
  <si>
    <t xml:space="preserve">Table drawer Back</t>
  </si>
  <si>
    <t xml:space="preserve">Table drawer Side (left)</t>
  </si>
  <si>
    <t xml:space="preserve">Table drawer Side (right)</t>
  </si>
  <si>
    <t xml:space="preserve">C  Drawer tower (under table)</t>
  </si>
  <si>
    <t xml:space="preserve">D  Right shelf tower</t>
  </si>
  <si>
    <t xml:space="preserve">45° bevel left edge, cut on back face</t>
  </si>
  <si>
    <t xml:space="preserve">1 short edge (front)</t>
  </si>
  <si>
    <t xml:space="preserve">Shelf</t>
  </si>
  <si>
    <t xml:space="preserve">E  Top cabinet - left</t>
  </si>
  <si>
    <t xml:space="preserve">F  Top cabinet - centre</t>
  </si>
  <si>
    <t xml:space="preserve">G  Top cabinet - right</t>
  </si>
  <si>
    <t xml:space="preserve">H  Scribe strips (cut to fit on site)</t>
  </si>
  <si>
    <t xml:space="preserve">Scribe Right Wall</t>
  </si>
  <si>
    <t xml:space="preserve">Rip 40 mm wide, scribe to the wall / ceiling on site</t>
  </si>
  <si>
    <t xml:space="preserve">Scribe Ceiling</t>
  </si>
  <si>
    <t xml:space="preserve">TOTAL pieces</t>
  </si>
  <si>
    <t xml:space="preserve">Panel area</t>
  </si>
  <si>
    <t xml:space="preserve">Cutting layout on 4x8 sheets (1220 x 2440)</t>
  </si>
  <si>
    <t xml:space="preserve">Kerf 4 mm, 5 mm factory-edge trim each side. X = across the 1220 width, Y = along the 2440 length, from the trimmed corner. See cutting_diagram_v3.pdf for drawings.</t>
  </si>
  <si>
    <t xml:space="preserve">Sheet</t>
  </si>
  <si>
    <t xml:space="preserve">Module</t>
  </si>
  <si>
    <t xml:space="preserve">Cut length (mm)</t>
  </si>
  <si>
    <t xml:space="preserve">Cut width (mm)</t>
  </si>
  <si>
    <t xml:space="preserve">X (mm)</t>
  </si>
  <si>
    <t xml:space="preserve">Y (mm)</t>
  </si>
  <si>
    <t xml:space="preserve">Rotated</t>
  </si>
  <si>
    <t xml:space="preserve">Centre: TV niche + makeup table</t>
  </si>
  <si>
    <t xml:space="preserve">Left wardrobe (hanging)</t>
  </si>
  <si>
    <t xml:space="preserve">yes</t>
  </si>
  <si>
    <t xml:space="preserve">Top cabinet - centre</t>
  </si>
  <si>
    <t xml:space="preserve">Right shelf tower</t>
  </si>
  <si>
    <t xml:space="preserve">Scribe strips (cut to fit on site)</t>
  </si>
  <si>
    <t xml:space="preserve">Drawer tower (under table)</t>
  </si>
  <si>
    <t xml:space="preserve">Top cabinet - left</t>
  </si>
  <si>
    <t xml:space="preserve">Top cabinet - right</t>
  </si>
  <si>
    <t xml:space="preserve">Sheets used</t>
  </si>
  <si>
    <t xml:space="preserve">Sheet yield</t>
  </si>
  <si>
    <t xml:space="preserve">Material &amp; Hardware List</t>
  </si>
  <si>
    <t xml:space="preserve">Prices = Philippine retail, Oct 2026 (sources in column I). Red = estimate, not verified online. Yellow = edit to your own quotes.</t>
  </si>
  <si>
    <t xml:space="preserve">Category</t>
  </si>
  <si>
    <t xml:space="preserve">Item</t>
  </si>
  <si>
    <t xml:space="preserve">Specification</t>
  </si>
  <si>
    <t xml:space="preserve">Unit</t>
  </si>
  <si>
    <t xml:space="preserve">Unit price (₱)</t>
  </si>
  <si>
    <t xml:space="preserve">Amount (₱)</t>
  </si>
  <si>
    <t xml:space="preserve">Notes</t>
  </si>
  <si>
    <t xml:space="preserve">Price basis (PH, Oct 2026)</t>
  </si>
  <si>
    <t xml:space="preserve">Assumptions</t>
  </si>
  <si>
    <t xml:space="preserve">Sheet goods</t>
  </si>
  <si>
    <t xml:space="preserve">Marine plywood 3/4"</t>
  </si>
  <si>
    <t xml:space="preserve">18 mm, 4x8 ft (1220 x 2440)</t>
  </si>
  <si>
    <t xml:space="preserve">sheet</t>
  </si>
  <si>
    <t xml:space="preserve">From the nesting on 'Sheet Layout'. Consider +1 spare sheet for mistakes.</t>
  </si>
  <si>
    <t xml:space="preserve">Wilcon, Santa Clara 18mm (CitiHardware 2,695; others to 3,042)</t>
  </si>
  <si>
    <t xml:space="preserve">Laminate waste factor</t>
  </si>
  <si>
    <t xml:space="preserve">15% extra for trimming / offcuts</t>
  </si>
  <si>
    <t xml:space="preserve">HPL laminate 0.8 mm</t>
  </si>
  <si>
    <t xml:space="preserve">4x8 ft, both faces of every panel</t>
  </si>
  <si>
    <t xml:space="preserve">Both faces laminated as requested. Tip: plain/cheaper laminate for faces hidden inside the boxes.</t>
  </si>
  <si>
    <t xml:space="preserve">Imported HPL alt. (local white HPL from 650; original Formica 2,980+)</t>
  </si>
  <si>
    <t xml:space="preserve">Edge band waste factor</t>
  </si>
  <si>
    <t xml:space="preserve">10% extra for ends / trimming</t>
  </si>
  <si>
    <t xml:space="preserve">PVC edge banding</t>
  </si>
  <si>
    <t xml:space="preserve">22 mm wide (for 19.6 mm panel), match laminate</t>
  </si>
  <si>
    <t xml:space="preserve">m</t>
  </si>
  <si>
    <t xml:space="preserve">Includes the 45° bevelled edges of doors / drawer fronts.</t>
  </si>
  <si>
    <t xml:space="preserve">UNICA 21mm PVC, 10 m pack 189 on Shopee (buy 7 packs); 100 m roll 3,200</t>
  </si>
  <si>
    <t xml:space="preserve">Contact cement coverage (m² laminate per gallon)</t>
  </si>
  <si>
    <t xml:space="preserve">Typical for brush/roller, both surfaces coated; check the label</t>
  </si>
  <si>
    <t xml:space="preserve">Adhesives</t>
  </si>
  <si>
    <t xml:space="preserve">Contact cement</t>
  </si>
  <si>
    <t xml:space="preserve">For laminate + edge banding</t>
  </si>
  <si>
    <t xml:space="preserve">gal</t>
  </si>
  <si>
    <t xml:space="preserve">Laminate full sheets BEFORE cutting parts for the cleanest edges.</t>
  </si>
  <si>
    <t xml:space="preserve">Wilcon Rugby 1 gal (Ayroso 800, Buildmate 988)</t>
  </si>
  <si>
    <t xml:space="preserve">4x8 sheet area (m²)</t>
  </si>
  <si>
    <t xml:space="preserve">1220 x 2440</t>
  </si>
  <si>
    <t xml:space="preserve">Wood glue (PVA)</t>
  </si>
  <si>
    <t xml:space="preserve">1 L</t>
  </si>
  <si>
    <t xml:space="preserve">btl</t>
  </si>
  <si>
    <t xml:space="preserve">Carcass joints, drawer boxes</t>
  </si>
  <si>
    <t xml:space="preserve">ESTIMATE - not verified online</t>
  </si>
  <si>
    <t xml:space="preserve">Mirror adhesive</t>
  </si>
  <si>
    <t xml:space="preserve">Neutral-cure, mirror-safe</t>
  </si>
  <si>
    <t xml:space="preserve">tube</t>
  </si>
  <si>
    <t xml:space="preserve">Acid-cure silicone damages mirror backing</t>
  </si>
  <si>
    <t xml:space="preserve">Hinges</t>
  </si>
  <si>
    <t xml:space="preserve">Concealed hinge, HALF overlay, soft-close</t>
  </si>
  <si>
    <t xml:space="preserve">35 mm cup, 110°, clip-on, with plates</t>
  </si>
  <si>
    <t xml:space="preserve">pc</t>
  </si>
  <si>
    <t xml:space="preserve">Tall doors (left wardrobe + right tower): 4 each, hinged on the wall side</t>
  </si>
  <si>
    <t xml:space="preserve">Wilcon Direct Hardware half soft-close, 125 per 2-pc pack</t>
  </si>
  <si>
    <t xml:space="preserve">Concealed hinge, FULL overlay, soft-close</t>
  </si>
  <si>
    <t xml:space="preserve">4 top-cabinet doors x 2, hinged on the side away from the walls</t>
  </si>
  <si>
    <t xml:space="preserve">Wilcon Direct Hardware full soft-close, 125 per 2-pc pack</t>
  </si>
  <si>
    <t xml:space="preserve">Drawer</t>
  </si>
  <si>
    <t xml:space="preserve">Drawer slides, full-extension ball-bearing</t>
  </si>
  <si>
    <t xml:space="preserve">400 mm (16"), side mount, 12.5 mm clearance</t>
  </si>
  <si>
    <t xml:space="preserve">pair</t>
  </si>
  <si>
    <t xml:space="preserve">Table drawer 1 + drawer tower 3 + inside left wardrobe 2</t>
  </si>
  <si>
    <t xml:space="preserve">ESTIMATE within listed 70-403 per pair (HardwareZonePH; soft-close 403)</t>
  </si>
  <si>
    <t xml:space="preserve">Wardrobe</t>
  </si>
  <si>
    <t xml:space="preserve">Hanging rod</t>
  </si>
  <si>
    <t xml:space="preserve">Round/oval 25 mm, aluminium or stainless</t>
  </si>
  <si>
    <t xml:space="preserve">Buy 1 m, cut to 481 mm</t>
  </si>
  <si>
    <t xml:space="preserve">Rod end supports (flanges)</t>
  </si>
  <si>
    <t xml:space="preserve">For 25 mm rod</t>
  </si>
  <si>
    <t xml:space="preserve">Shelf support pins</t>
  </si>
  <si>
    <t xml:space="preserve">5 mm, metal</t>
  </si>
  <si>
    <t xml:space="preserve">8 adjustable shelves x 4 + spare. Drill 5 mm holes at 32 mm spacing</t>
  </si>
  <si>
    <t xml:space="preserve">Fasteners</t>
  </si>
  <si>
    <t xml:space="preserve">Confirmat screws</t>
  </si>
  <si>
    <t xml:space="preserve">7 x 50 mm</t>
  </si>
  <si>
    <t xml:space="preserve">Carcass joints, table top, TV ledge, fixed shelves (est.)</t>
  </si>
  <si>
    <t xml:space="preserve">Wood screws</t>
  </si>
  <si>
    <t xml:space="preserve">#8 x 1-1/2" (38 mm)</t>
  </si>
  <si>
    <t xml:space="preserve">Back panels, plinths (est.)</t>
  </si>
  <si>
    <t xml:space="preserve">#8 x 1-1/4" (32 mm)</t>
  </si>
  <si>
    <t xml:space="preserve">Drawer boxes, drawer fronts (est.)</t>
  </si>
  <si>
    <t xml:space="preserve">Pan-head screws</t>
  </si>
  <si>
    <t xml:space="preserve">#6 x 5/8" (16 mm)</t>
  </si>
  <si>
    <t xml:space="preserve">Hinge plates + slides (est.)</t>
  </si>
  <si>
    <t xml:space="preserve">Cabinet connector bolts</t>
  </si>
  <si>
    <t xml:space="preserve">Joining sleeve bolts, 30-50 mm</t>
  </si>
  <si>
    <t xml:space="preserve">Join top cabinets to tall units and units to each other</t>
  </si>
  <si>
    <t xml:space="preserve">Installation</t>
  </si>
  <si>
    <t xml:space="preserve">Wall anchoring brackets / anti-tip</t>
  </si>
  <si>
    <t xml:space="preserve">L-bracket or anti-tip strap</t>
  </si>
  <si>
    <t xml:space="preserve">Every tall unit and top cabinet to the wall</t>
  </si>
  <si>
    <t xml:space="preserve">Wall plugs + screws</t>
  </si>
  <si>
    <t xml:space="preserve">6-8 mm, to suit wall</t>
  </si>
  <si>
    <t xml:space="preserve">set</t>
  </si>
  <si>
    <t xml:space="preserve">Levelling shims</t>
  </si>
  <si>
    <t xml:space="preserve">Plastic packers</t>
  </si>
  <si>
    <t xml:space="preserve">pack</t>
  </si>
  <si>
    <t xml:space="preserve">Under plinths</t>
  </si>
  <si>
    <t xml:space="preserve">TV</t>
  </si>
  <si>
    <t xml:space="preserve">TV wall bracket, fixed / low-profile</t>
  </si>
  <si>
    <t xml:space="preserve">For 55" (1230 x 700) TV, check VESA</t>
  </si>
  <si>
    <t xml:space="preserve">Bolt THROUGH the back panel into the wall, not into plywood only</t>
  </si>
  <si>
    <t xml:space="preserve">ESTIMATE within Lazada 196-628 for fixed 32-55in mounts</t>
  </si>
  <si>
    <t xml:space="preserve">Anchor bolts for TV bracket</t>
  </si>
  <si>
    <t xml:space="preserve">M8 / lag screws long enough to pass 19.6 mm panel + into wall</t>
  </si>
  <si>
    <t xml:space="preserve">Cable grommet</t>
  </si>
  <si>
    <t xml:space="preserve">60 mm</t>
  </si>
  <si>
    <t xml:space="preserve">TV back panel + TV ledge</t>
  </si>
  <si>
    <t xml:space="preserve">Makeup</t>
  </si>
  <si>
    <t xml:space="preserve">Mirror</t>
  </si>
  <si>
    <t xml:space="preserve">4 mm, 680 x 400 mm, polished edges</t>
  </si>
  <si>
    <t xml:space="preserve">ESTIMATE - get a glass-shop quote (680x400, 4mm, polished)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</si>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</sst>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0"/>
    <numFmt numFmtId="167" formatCode="0.00"/>
    <numFmt numFmtId="168" formatCode="0%"/>
    <numFmt numFmtId="169" formatCode="#,##0.00"/>
    <numFmt numFmtId="170" formatCode="#,##0.00;\(#,##0.00\);\-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E8E2D4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2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6"/>
    <col collapsed="false" customWidth="true" hidden="false" outlineLevel="0" max="5" min="4" style="1" width="12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9" min="9" style="1" width="40"/>
    <col collapsed="false" customWidth="true" hidden="false" outlineLevel="0" max="11" min="10" style="1" width="12"/>
    <col collapsed="false" customWidth="true" hidden="false" outlineLevel="0" max="12" min="12" style="1" width="13"/>
  </cols>
  <sheetData>
    <row r="1" customFormat="false" ht="17.25" hidden="false" customHeight="true" outlineLevel="0" collapsed="false">
      <c r="A1" s="5" t="s">
        <v>19</v>
      </c>
    </row>
    <row r="2" customFormat="false" ht="15" hidden="false" customHeight="true" outlineLevel="0" collapsed="false">
      <c r="A2" s="6" t="s">
        <v>20</v>
      </c>
    </row>
    <row r="4" customFormat="false" ht="26.25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</row>
    <row r="5" customFormat="false" ht="15" hidden="false" customHeight="true" outlineLevel="0" collapsed="false">
      <c r="A5" s="8" t="s">
        <v>33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customFormat="false" ht="15" hidden="false" customHeight="true" outlineLevel="0" collapsed="false">
      <c r="A6" s="10" t="n">
        <v>1</v>
      </c>
      <c r="B6" s="10" t="s">
        <v>34</v>
      </c>
      <c r="C6" s="10" t="n">
        <v>1</v>
      </c>
      <c r="D6" s="11" t="n">
        <v>1990</v>
      </c>
      <c r="E6" s="11" t="n">
        <v>520</v>
      </c>
      <c r="F6" s="10" t="n">
        <v>19.6</v>
      </c>
      <c r="G6" s="10" t="s">
        <v>35</v>
      </c>
      <c r="H6" s="11" t="n">
        <v>0</v>
      </c>
      <c r="I6" s="10"/>
      <c r="J6" s="12" t="n">
        <f aca="false">D6*E6/1000000</f>
        <v>1.0348</v>
      </c>
      <c r="K6" s="12" t="n">
        <f aca="false">C6*J6</f>
        <v>1.0348</v>
      </c>
      <c r="L6" s="13" t="n">
        <f aca="false">C6*H6/1000</f>
        <v>0</v>
      </c>
    </row>
    <row r="7" customFormat="false" ht="15" hidden="false" customHeight="true" outlineLevel="0" collapsed="false">
      <c r="A7" s="10" t="n">
        <v>2</v>
      </c>
      <c r="B7" s="10" t="s">
        <v>36</v>
      </c>
      <c r="C7" s="10" t="n">
        <v>1</v>
      </c>
      <c r="D7" s="11" t="n">
        <v>1962</v>
      </c>
      <c r="E7" s="11" t="n">
        <v>507</v>
      </c>
      <c r="F7" s="10" t="n">
        <v>19.6</v>
      </c>
      <c r="G7" s="10" t="s">
        <v>37</v>
      </c>
      <c r="H7" s="11" t="n">
        <v>4938</v>
      </c>
      <c r="I7" s="14" t="s">
        <v>38</v>
      </c>
      <c r="J7" s="12" t="n">
        <f aca="false">D7*E7/1000000</f>
        <v>0.994734</v>
      </c>
      <c r="K7" s="12" t="n">
        <f aca="false">C7*J7</f>
        <v>0.994734</v>
      </c>
      <c r="L7" s="13" t="n">
        <f aca="false">C7*H7/1000</f>
        <v>4.938</v>
      </c>
    </row>
    <row r="8" customFormat="false" ht="15" hidden="false" customHeight="true" outlineLevel="0" collapsed="false">
      <c r="A8" s="10" t="n">
        <v>3</v>
      </c>
      <c r="B8" s="10" t="s">
        <v>39</v>
      </c>
      <c r="C8" s="10" t="n">
        <v>1</v>
      </c>
      <c r="D8" s="11" t="n">
        <v>1990</v>
      </c>
      <c r="E8" s="11" t="n">
        <v>430.8</v>
      </c>
      <c r="F8" s="10" t="n">
        <v>19.6</v>
      </c>
      <c r="G8" s="10" t="s">
        <v>40</v>
      </c>
      <c r="H8" s="11" t="n">
        <v>1990</v>
      </c>
      <c r="I8" s="10"/>
      <c r="J8" s="12" t="n">
        <f aca="false">D8*E8/1000000</f>
        <v>0.857292</v>
      </c>
      <c r="K8" s="12" t="n">
        <f aca="false">C8*J8</f>
        <v>0.857292</v>
      </c>
      <c r="L8" s="13" t="n">
        <f aca="false">C8*H8/1000</f>
        <v>1.99</v>
      </c>
    </row>
    <row r="9" customFormat="false" ht="15" hidden="false" customHeight="true" outlineLevel="0" collapsed="false">
      <c r="A9" s="10" t="n">
        <v>4</v>
      </c>
      <c r="B9" s="10" t="s">
        <v>41</v>
      </c>
      <c r="C9" s="10" t="n">
        <v>1</v>
      </c>
      <c r="D9" s="11" t="n">
        <v>1990</v>
      </c>
      <c r="E9" s="11" t="n">
        <v>430.8</v>
      </c>
      <c r="F9" s="10" t="n">
        <v>19.6</v>
      </c>
      <c r="G9" s="10" t="s">
        <v>40</v>
      </c>
      <c r="H9" s="11" t="n">
        <v>1990</v>
      </c>
      <c r="I9" s="10"/>
      <c r="J9" s="12" t="n">
        <f aca="false">D9*E9/1000000</f>
        <v>0.857292</v>
      </c>
      <c r="K9" s="12" t="n">
        <f aca="false">C9*J9</f>
        <v>0.857292</v>
      </c>
      <c r="L9" s="13" t="n">
        <f aca="false">C9*H9/1000</f>
        <v>1.99</v>
      </c>
    </row>
    <row r="10" customFormat="false" ht="15" hidden="false" customHeight="true" outlineLevel="0" collapsed="false">
      <c r="A10" s="10" t="n">
        <v>5</v>
      </c>
      <c r="B10" s="10" t="s">
        <v>42</v>
      </c>
      <c r="C10" s="10" t="n">
        <v>1</v>
      </c>
      <c r="D10" s="11" t="n">
        <v>480.8</v>
      </c>
      <c r="E10" s="11" t="n">
        <v>430.8</v>
      </c>
      <c r="F10" s="10" t="n">
        <v>19.6</v>
      </c>
      <c r="G10" s="10" t="s">
        <v>40</v>
      </c>
      <c r="H10" s="11" t="n">
        <v>480.8</v>
      </c>
      <c r="I10" s="10"/>
      <c r="J10" s="12" t="n">
        <f aca="false">D10*E10/1000000</f>
        <v>0.20712864</v>
      </c>
      <c r="K10" s="12" t="n">
        <f aca="false">C10*J10</f>
        <v>0.20712864</v>
      </c>
      <c r="L10" s="13" t="n">
        <f aca="false">C10*H10/1000</f>
        <v>0.4808</v>
      </c>
    </row>
    <row r="11" customFormat="false" ht="15" hidden="false" customHeight="true" outlineLevel="0" collapsed="false">
      <c r="A11" s="10" t="n">
        <v>6</v>
      </c>
      <c r="B11" s="10" t="s">
        <v>43</v>
      </c>
      <c r="C11" s="10" t="n">
        <v>1</v>
      </c>
      <c r="D11" s="11" t="n">
        <v>480.8</v>
      </c>
      <c r="E11" s="11" t="n">
        <v>430.8</v>
      </c>
      <c r="F11" s="10" t="n">
        <v>19.6</v>
      </c>
      <c r="G11" s="10" t="s">
        <v>40</v>
      </c>
      <c r="H11" s="11" t="n">
        <v>480.8</v>
      </c>
      <c r="I11" s="10"/>
      <c r="J11" s="12" t="n">
        <f aca="false">D11*E11/1000000</f>
        <v>0.20712864</v>
      </c>
      <c r="K11" s="12" t="n">
        <f aca="false">C11*J11</f>
        <v>0.20712864</v>
      </c>
      <c r="L11" s="13" t="n">
        <f aca="false">C11*H11/1000</f>
        <v>0.4808</v>
      </c>
    </row>
    <row r="12" customFormat="false" ht="15" hidden="false" customHeight="true" outlineLevel="0" collapsed="false">
      <c r="A12" s="10" t="n">
        <v>7</v>
      </c>
      <c r="B12" s="10" t="s">
        <v>44</v>
      </c>
      <c r="C12" s="10" t="n">
        <v>1</v>
      </c>
      <c r="D12" s="11" t="n">
        <v>480.8</v>
      </c>
      <c r="E12" s="11" t="n">
        <v>410.8</v>
      </c>
      <c r="F12" s="10" t="n">
        <v>19.6</v>
      </c>
      <c r="G12" s="10" t="s">
        <v>40</v>
      </c>
      <c r="H12" s="11" t="n">
        <v>480.8</v>
      </c>
      <c r="I12" s="10"/>
      <c r="J12" s="12" t="n">
        <f aca="false">D12*E12/1000000</f>
        <v>0.19751264</v>
      </c>
      <c r="K12" s="12" t="n">
        <f aca="false">C12*J12</f>
        <v>0.19751264</v>
      </c>
      <c r="L12" s="13" t="n">
        <f aca="false">C12*H12/1000</f>
        <v>0.4808</v>
      </c>
    </row>
    <row r="13" customFormat="false" ht="15" hidden="false" customHeight="true" outlineLevel="0" collapsed="false">
      <c r="A13" s="10" t="n">
        <v>8</v>
      </c>
      <c r="B13" s="10" t="s">
        <v>45</v>
      </c>
      <c r="C13" s="10" t="n">
        <v>1</v>
      </c>
      <c r="D13" s="11" t="n">
        <v>480.8</v>
      </c>
      <c r="E13" s="11" t="n">
        <v>410.8</v>
      </c>
      <c r="F13" s="10" t="n">
        <v>19.6</v>
      </c>
      <c r="G13" s="10" t="s">
        <v>40</v>
      </c>
      <c r="H13" s="11" t="n">
        <v>480.8</v>
      </c>
      <c r="I13" s="10"/>
      <c r="J13" s="12" t="n">
        <f aca="false">D13*E13/1000000</f>
        <v>0.19751264</v>
      </c>
      <c r="K13" s="12" t="n">
        <f aca="false">C13*J13</f>
        <v>0.19751264</v>
      </c>
      <c r="L13" s="13" t="n">
        <f aca="false">C13*H13/1000</f>
        <v>0.4808</v>
      </c>
    </row>
    <row r="14" customFormat="false" ht="15" hidden="false" customHeight="true" outlineLevel="0" collapsed="false">
      <c r="A14" s="10" t="n">
        <v>9</v>
      </c>
      <c r="B14" s="10" t="s">
        <v>46</v>
      </c>
      <c r="C14" s="10" t="n">
        <v>2</v>
      </c>
      <c r="D14" s="11" t="n">
        <v>416.6</v>
      </c>
      <c r="E14" s="11" t="n">
        <v>360.8</v>
      </c>
      <c r="F14" s="10" t="n">
        <v>19.6</v>
      </c>
      <c r="G14" s="10" t="s">
        <v>35</v>
      </c>
      <c r="H14" s="11" t="n">
        <v>0</v>
      </c>
      <c r="I14" s="10"/>
      <c r="J14" s="12" t="n">
        <f aca="false">D14*E14/1000000</f>
        <v>0.15030928</v>
      </c>
      <c r="K14" s="12" t="n">
        <f aca="false">C14*J14</f>
        <v>0.30061856</v>
      </c>
      <c r="L14" s="13" t="n">
        <f aca="false">C14*H14/1000</f>
        <v>0</v>
      </c>
    </row>
    <row r="15" customFormat="false" ht="15" hidden="false" customHeight="true" outlineLevel="0" collapsed="false">
      <c r="A15" s="10" t="n">
        <v>10</v>
      </c>
      <c r="B15" s="10" t="s">
        <v>47</v>
      </c>
      <c r="C15" s="10" t="n">
        <v>2</v>
      </c>
      <c r="D15" s="11" t="n">
        <v>476.8</v>
      </c>
      <c r="E15" s="11" t="n">
        <v>160</v>
      </c>
      <c r="F15" s="10" t="n">
        <v>19.6</v>
      </c>
      <c r="G15" s="10" t="s">
        <v>37</v>
      </c>
      <c r="H15" s="11" t="n">
        <v>1273.6</v>
      </c>
      <c r="I15" s="14" t="s">
        <v>48</v>
      </c>
      <c r="J15" s="12" t="n">
        <f aca="false">D15*E15/1000000</f>
        <v>0.076288</v>
      </c>
      <c r="K15" s="12" t="n">
        <f aca="false">C15*J15</f>
        <v>0.152576</v>
      </c>
      <c r="L15" s="13" t="n">
        <f aca="false">C15*H15/1000</f>
        <v>2.5472</v>
      </c>
    </row>
    <row r="16" customFormat="false" ht="15" hidden="false" customHeight="true" outlineLevel="0" collapsed="false">
      <c r="A16" s="10" t="n">
        <v>11</v>
      </c>
      <c r="B16" s="10" t="s">
        <v>49</v>
      </c>
      <c r="C16" s="10" t="n">
        <v>2</v>
      </c>
      <c r="D16" s="11" t="n">
        <v>416.6</v>
      </c>
      <c r="E16" s="11" t="n">
        <v>130</v>
      </c>
      <c r="F16" s="10" t="n">
        <v>19.6</v>
      </c>
      <c r="G16" s="10" t="s">
        <v>50</v>
      </c>
      <c r="H16" s="11" t="n">
        <v>416.6</v>
      </c>
      <c r="I16" s="10"/>
      <c r="J16" s="12" t="n">
        <f aca="false">D16*E16/1000000</f>
        <v>0.054158</v>
      </c>
      <c r="K16" s="12" t="n">
        <f aca="false">C16*J16</f>
        <v>0.108316</v>
      </c>
      <c r="L16" s="13" t="n">
        <f aca="false">C16*H16/1000</f>
        <v>0.8332</v>
      </c>
    </row>
    <row r="17" customFormat="false" ht="15" hidden="false" customHeight="true" outlineLevel="0" collapsed="false">
      <c r="A17" s="10" t="n">
        <v>12</v>
      </c>
      <c r="B17" s="10" t="s">
        <v>51</v>
      </c>
      <c r="C17" s="10" t="n">
        <v>2</v>
      </c>
      <c r="D17" s="11" t="n">
        <v>380.4</v>
      </c>
      <c r="E17" s="11" t="n">
        <v>130</v>
      </c>
      <c r="F17" s="10" t="n">
        <v>19.6</v>
      </c>
      <c r="G17" s="10" t="s">
        <v>50</v>
      </c>
      <c r="H17" s="11" t="n">
        <v>380.4</v>
      </c>
      <c r="I17" s="10"/>
      <c r="J17" s="12" t="n">
        <f aca="false">D17*E17/1000000</f>
        <v>0.049452</v>
      </c>
      <c r="K17" s="12" t="n">
        <f aca="false">C17*J17</f>
        <v>0.098904</v>
      </c>
      <c r="L17" s="13" t="n">
        <f aca="false">C17*H17/1000</f>
        <v>0.7608</v>
      </c>
    </row>
    <row r="18" customFormat="false" ht="15" hidden="false" customHeight="true" outlineLevel="0" collapsed="false">
      <c r="A18" s="10" t="n">
        <v>13</v>
      </c>
      <c r="B18" s="10" t="s">
        <v>52</v>
      </c>
      <c r="C18" s="10" t="n">
        <v>2</v>
      </c>
      <c r="D18" s="11" t="n">
        <v>380.4</v>
      </c>
      <c r="E18" s="11" t="n">
        <v>130</v>
      </c>
      <c r="F18" s="10" t="n">
        <v>19.6</v>
      </c>
      <c r="G18" s="10" t="s">
        <v>50</v>
      </c>
      <c r="H18" s="11" t="n">
        <v>380.4</v>
      </c>
      <c r="I18" s="10"/>
      <c r="J18" s="12" t="n">
        <f aca="false">D18*E18/1000000</f>
        <v>0.049452</v>
      </c>
      <c r="K18" s="12" t="n">
        <f aca="false">C18*J18</f>
        <v>0.098904</v>
      </c>
      <c r="L18" s="13" t="n">
        <f aca="false">C18*H18/1000</f>
        <v>0.7608</v>
      </c>
    </row>
    <row r="19" customFormat="false" ht="15" hidden="false" customHeight="true" outlineLevel="0" collapsed="false">
      <c r="A19" s="10" t="n">
        <v>14</v>
      </c>
      <c r="B19" s="10" t="s">
        <v>53</v>
      </c>
      <c r="C19" s="10" t="n">
        <v>1</v>
      </c>
      <c r="D19" s="11" t="n">
        <v>520</v>
      </c>
      <c r="E19" s="11" t="n">
        <v>80</v>
      </c>
      <c r="F19" s="10" t="n">
        <v>19.6</v>
      </c>
      <c r="G19" s="10" t="s">
        <v>35</v>
      </c>
      <c r="H19" s="11" t="n">
        <v>0</v>
      </c>
      <c r="I19" s="10"/>
      <c r="J19" s="12" t="n">
        <f aca="false">D19*E19/1000000</f>
        <v>0.0416</v>
      </c>
      <c r="K19" s="12" t="n">
        <f aca="false">C19*J19</f>
        <v>0.0416</v>
      </c>
      <c r="L19" s="13" t="n">
        <f aca="false">C19*H19/1000</f>
        <v>0</v>
      </c>
    </row>
    <row r="20" customFormat="false" ht="15" hidden="false" customHeight="true" outlineLevel="0" collapsed="false">
      <c r="A20" s="10" t="n">
        <v>15</v>
      </c>
      <c r="B20" s="10" t="s">
        <v>54</v>
      </c>
      <c r="C20" s="10" t="n">
        <v>1</v>
      </c>
      <c r="D20" s="11" t="n">
        <v>520</v>
      </c>
      <c r="E20" s="11" t="n">
        <v>80</v>
      </c>
      <c r="F20" s="10" t="n">
        <v>19.6</v>
      </c>
      <c r="G20" s="10" t="s">
        <v>35</v>
      </c>
      <c r="H20" s="11" t="n">
        <v>0</v>
      </c>
      <c r="I20" s="10"/>
      <c r="J20" s="12" t="n">
        <f aca="false">D20*E20/1000000</f>
        <v>0.0416</v>
      </c>
      <c r="K20" s="12" t="n">
        <f aca="false">C20*J20</f>
        <v>0.0416</v>
      </c>
      <c r="L20" s="13" t="n">
        <f aca="false">C20*H20/1000</f>
        <v>0</v>
      </c>
    </row>
    <row r="21" customFormat="false" ht="15" hidden="false" customHeight="true" outlineLevel="0" collapsed="false">
      <c r="A21" s="8" t="s">
        <v>55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A22" s="10" t="n">
        <v>16</v>
      </c>
      <c r="B22" s="10" t="s">
        <v>56</v>
      </c>
      <c r="C22" s="10" t="n">
        <v>1</v>
      </c>
      <c r="D22" s="11" t="n">
        <v>2070</v>
      </c>
      <c r="E22" s="11" t="n">
        <v>650</v>
      </c>
      <c r="F22" s="10" t="n">
        <v>19.6</v>
      </c>
      <c r="G22" s="10" t="s">
        <v>35</v>
      </c>
      <c r="H22" s="11" t="n">
        <v>0</v>
      </c>
      <c r="I22" s="10"/>
      <c r="J22" s="12" t="n">
        <f aca="false">D22*E22/1000000</f>
        <v>1.3455</v>
      </c>
      <c r="K22" s="12" t="n">
        <f aca="false">C22*J22</f>
        <v>1.3455</v>
      </c>
      <c r="L22" s="13" t="n">
        <f aca="false">C22*H22/1000</f>
        <v>0</v>
      </c>
    </row>
    <row r="23" customFormat="false" ht="15" hidden="false" customHeight="true" outlineLevel="0" collapsed="false">
      <c r="A23" s="10" t="n">
        <v>17</v>
      </c>
      <c r="B23" s="10" t="s">
        <v>57</v>
      </c>
      <c r="C23" s="10" t="n">
        <v>1</v>
      </c>
      <c r="D23" s="11" t="n">
        <v>2070</v>
      </c>
      <c r="E23" s="11" t="n">
        <v>650</v>
      </c>
      <c r="F23" s="10" t="n">
        <v>19.6</v>
      </c>
      <c r="G23" s="10" t="s">
        <v>35</v>
      </c>
      <c r="H23" s="11" t="n">
        <v>0</v>
      </c>
      <c r="I23" s="10"/>
      <c r="J23" s="12" t="n">
        <f aca="false">D23*E23/1000000</f>
        <v>1.3455</v>
      </c>
      <c r="K23" s="12" t="n">
        <f aca="false">C23*J23</f>
        <v>1.3455</v>
      </c>
      <c r="L23" s="13" t="n">
        <f aca="false">C23*H23/1000</f>
        <v>0</v>
      </c>
    </row>
    <row r="24" customFormat="false" ht="15" hidden="false" customHeight="true" outlineLevel="0" collapsed="false">
      <c r="A24" s="10" t="n">
        <v>18</v>
      </c>
      <c r="B24" s="10" t="s">
        <v>58</v>
      </c>
      <c r="C24" s="10" t="n">
        <v>1</v>
      </c>
      <c r="D24" s="11" t="n">
        <v>1300</v>
      </c>
      <c r="E24" s="11" t="n">
        <v>450.4</v>
      </c>
      <c r="F24" s="10" t="n">
        <v>19.6</v>
      </c>
      <c r="G24" s="10" t="s">
        <v>40</v>
      </c>
      <c r="H24" s="11" t="n">
        <v>1300</v>
      </c>
      <c r="I24" s="10"/>
      <c r="J24" s="12" t="n">
        <f aca="false">D24*E24/1000000</f>
        <v>0.58552</v>
      </c>
      <c r="K24" s="12" t="n">
        <f aca="false">C24*J24</f>
        <v>0.58552</v>
      </c>
      <c r="L24" s="13" t="n">
        <f aca="false">C24*H24/1000</f>
        <v>1.3</v>
      </c>
    </row>
    <row r="25" customFormat="false" ht="15" hidden="false" customHeight="true" outlineLevel="0" collapsed="false">
      <c r="A25" s="10" t="n">
        <v>19</v>
      </c>
      <c r="B25" s="10" t="s">
        <v>59</v>
      </c>
      <c r="C25" s="10" t="n">
        <v>1</v>
      </c>
      <c r="D25" s="11" t="n">
        <v>1300</v>
      </c>
      <c r="E25" s="11" t="n">
        <v>450.4</v>
      </c>
      <c r="F25" s="10" t="n">
        <v>19.6</v>
      </c>
      <c r="G25" s="10" t="s">
        <v>40</v>
      </c>
      <c r="H25" s="11" t="n">
        <v>1300</v>
      </c>
      <c r="I25" s="10"/>
      <c r="J25" s="12" t="n">
        <f aca="false">D25*E25/1000000</f>
        <v>0.58552</v>
      </c>
      <c r="K25" s="12" t="n">
        <f aca="false">C25*J25</f>
        <v>0.58552</v>
      </c>
      <c r="L25" s="13" t="n">
        <f aca="false">C25*H25/1000</f>
        <v>1.3</v>
      </c>
    </row>
    <row r="26" customFormat="false" ht="15" hidden="false" customHeight="true" outlineLevel="0" collapsed="false">
      <c r="A26" s="10" t="n">
        <v>20</v>
      </c>
      <c r="B26" s="10" t="s">
        <v>60</v>
      </c>
      <c r="C26" s="10" t="n">
        <v>1</v>
      </c>
      <c r="D26" s="11" t="n">
        <v>735.8</v>
      </c>
      <c r="E26" s="11" t="n">
        <v>360.8</v>
      </c>
      <c r="F26" s="10" t="n">
        <v>19.6</v>
      </c>
      <c r="G26" s="10" t="s">
        <v>35</v>
      </c>
      <c r="H26" s="11" t="n">
        <v>0</v>
      </c>
      <c r="I26" s="10"/>
      <c r="J26" s="12" t="n">
        <f aca="false">D26*E26/1000000</f>
        <v>0.26547664</v>
      </c>
      <c r="K26" s="12" t="n">
        <f aca="false">C26*J26</f>
        <v>0.26547664</v>
      </c>
      <c r="L26" s="13" t="n">
        <f aca="false">C26*H26/1000</f>
        <v>0</v>
      </c>
    </row>
    <row r="27" customFormat="false" ht="15" hidden="false" customHeight="true" outlineLevel="0" collapsed="false">
      <c r="A27" s="10" t="n">
        <v>21</v>
      </c>
      <c r="B27" s="10" t="s">
        <v>61</v>
      </c>
      <c r="C27" s="10" t="n">
        <v>1</v>
      </c>
      <c r="D27" s="11" t="n">
        <v>530.4</v>
      </c>
      <c r="E27" s="11" t="n">
        <v>450.4</v>
      </c>
      <c r="F27" s="10" t="n">
        <v>19.6</v>
      </c>
      <c r="G27" s="10" t="s">
        <v>40</v>
      </c>
      <c r="H27" s="11" t="n">
        <v>530.4</v>
      </c>
      <c r="I27" s="10"/>
      <c r="J27" s="12" t="n">
        <f aca="false">D27*E27/1000000</f>
        <v>0.23889216</v>
      </c>
      <c r="K27" s="12" t="n">
        <f aca="false">C27*J27</f>
        <v>0.23889216</v>
      </c>
      <c r="L27" s="13" t="n">
        <f aca="false">C27*H27/1000</f>
        <v>0.5304</v>
      </c>
    </row>
    <row r="28" customFormat="false" ht="15" hidden="false" customHeight="true" outlineLevel="0" collapsed="false">
      <c r="A28" s="10" t="n">
        <v>22</v>
      </c>
      <c r="B28" s="10" t="s">
        <v>62</v>
      </c>
      <c r="C28" s="10" t="n">
        <v>2</v>
      </c>
      <c r="D28" s="11" t="n">
        <v>480.4</v>
      </c>
      <c r="E28" s="11" t="n">
        <v>300</v>
      </c>
      <c r="F28" s="10" t="n">
        <v>19.6</v>
      </c>
      <c r="G28" s="10" t="s">
        <v>40</v>
      </c>
      <c r="H28" s="11" t="n">
        <v>480.4</v>
      </c>
      <c r="I28" s="10"/>
      <c r="J28" s="12" t="n">
        <f aca="false">D28*E28/1000000</f>
        <v>0.14412</v>
      </c>
      <c r="K28" s="12" t="n">
        <f aca="false">C28*J28</f>
        <v>0.28824</v>
      </c>
      <c r="L28" s="13" t="n">
        <f aca="false">C28*H28/1000</f>
        <v>0.9608</v>
      </c>
    </row>
    <row r="29" customFormat="false" ht="15" hidden="false" customHeight="true" outlineLevel="0" collapsed="false">
      <c r="A29" s="10" t="n">
        <v>23</v>
      </c>
      <c r="B29" s="10" t="s">
        <v>63</v>
      </c>
      <c r="C29" s="10" t="n">
        <v>1</v>
      </c>
      <c r="D29" s="11" t="n">
        <v>796</v>
      </c>
      <c r="E29" s="11" t="n">
        <v>120</v>
      </c>
      <c r="F29" s="10" t="n">
        <v>19.6</v>
      </c>
      <c r="G29" s="10" t="s">
        <v>37</v>
      </c>
      <c r="H29" s="11" t="n">
        <v>1832</v>
      </c>
      <c r="I29" s="14" t="s">
        <v>64</v>
      </c>
      <c r="J29" s="12" t="n">
        <f aca="false">D29*E29/1000000</f>
        <v>0.09552</v>
      </c>
      <c r="K29" s="12" t="n">
        <f aca="false">C29*J29</f>
        <v>0.09552</v>
      </c>
      <c r="L29" s="13" t="n">
        <f aca="false">C29*H29/1000</f>
        <v>1.832</v>
      </c>
    </row>
    <row r="30" customFormat="false" ht="15" hidden="false" customHeight="true" outlineLevel="0" collapsed="false">
      <c r="A30" s="10" t="n">
        <v>24</v>
      </c>
      <c r="B30" s="10" t="s">
        <v>65</v>
      </c>
      <c r="C30" s="10" t="n">
        <v>1</v>
      </c>
      <c r="D30" s="11" t="n">
        <v>735.8</v>
      </c>
      <c r="E30" s="11" t="n">
        <v>90</v>
      </c>
      <c r="F30" s="10" t="n">
        <v>19.6</v>
      </c>
      <c r="G30" s="10" t="s">
        <v>50</v>
      </c>
      <c r="H30" s="11" t="n">
        <v>735.8</v>
      </c>
      <c r="I30" s="10"/>
      <c r="J30" s="12" t="n">
        <f aca="false">D30*E30/1000000</f>
        <v>0.066222</v>
      </c>
      <c r="K30" s="12" t="n">
        <f aca="false">C30*J30</f>
        <v>0.066222</v>
      </c>
      <c r="L30" s="13" t="n">
        <f aca="false">C30*H30/1000</f>
        <v>0.7358</v>
      </c>
    </row>
    <row r="31" customFormat="false" ht="15" hidden="false" customHeight="true" outlineLevel="0" collapsed="false">
      <c r="A31" s="10" t="n">
        <v>25</v>
      </c>
      <c r="B31" s="10" t="s">
        <v>66</v>
      </c>
      <c r="C31" s="10" t="n">
        <v>1</v>
      </c>
      <c r="D31" s="11" t="n">
        <v>380.4</v>
      </c>
      <c r="E31" s="11" t="n">
        <v>90</v>
      </c>
      <c r="F31" s="10" t="n">
        <v>19.6</v>
      </c>
      <c r="G31" s="10" t="s">
        <v>50</v>
      </c>
      <c r="H31" s="11" t="n">
        <v>380.4</v>
      </c>
      <c r="I31" s="10"/>
      <c r="J31" s="12" t="n">
        <f aca="false">D31*E31/1000000</f>
        <v>0.034236</v>
      </c>
      <c r="K31" s="12" t="n">
        <f aca="false">C31*J31</f>
        <v>0.034236</v>
      </c>
      <c r="L31" s="13" t="n">
        <f aca="false">C31*H31/1000</f>
        <v>0.3804</v>
      </c>
    </row>
    <row r="32" customFormat="false" ht="15" hidden="false" customHeight="true" outlineLevel="0" collapsed="false">
      <c r="A32" s="10" t="n">
        <v>26</v>
      </c>
      <c r="B32" s="10" t="s">
        <v>67</v>
      </c>
      <c r="C32" s="10" t="n">
        <v>1</v>
      </c>
      <c r="D32" s="11" t="n">
        <v>380.4</v>
      </c>
      <c r="E32" s="11" t="n">
        <v>90</v>
      </c>
      <c r="F32" s="10" t="n">
        <v>19.6</v>
      </c>
      <c r="G32" s="10" t="s">
        <v>50</v>
      </c>
      <c r="H32" s="11" t="n">
        <v>380.4</v>
      </c>
      <c r="I32" s="10"/>
      <c r="J32" s="12" t="n">
        <f aca="false">D32*E32/1000000</f>
        <v>0.034236</v>
      </c>
      <c r="K32" s="12" t="n">
        <f aca="false">C32*J32</f>
        <v>0.034236</v>
      </c>
      <c r="L32" s="13" t="n">
        <f aca="false">C32*H32/1000</f>
        <v>0.3804</v>
      </c>
    </row>
    <row r="33" customFormat="false" ht="15" hidden="false" customHeight="true" outlineLevel="0" collapsed="false">
      <c r="A33" s="8" t="s">
        <v>68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true" outlineLevel="0" collapsed="false">
      <c r="A34" s="10" t="n">
        <v>27</v>
      </c>
      <c r="B34" s="10" t="s">
        <v>39</v>
      </c>
      <c r="C34" s="10" t="n">
        <v>1</v>
      </c>
      <c r="D34" s="11" t="n">
        <v>650.4</v>
      </c>
      <c r="E34" s="11" t="n">
        <v>430.8</v>
      </c>
      <c r="F34" s="10" t="n">
        <v>19.6</v>
      </c>
      <c r="G34" s="10" t="s">
        <v>40</v>
      </c>
      <c r="H34" s="11" t="n">
        <v>650.4</v>
      </c>
      <c r="I34" s="10"/>
      <c r="J34" s="12" t="n">
        <f aca="false">D34*E34/1000000</f>
        <v>0.28019232</v>
      </c>
      <c r="K34" s="12" t="n">
        <f aca="false">C34*J34</f>
        <v>0.28019232</v>
      </c>
      <c r="L34" s="13" t="n">
        <f aca="false">C34*H34/1000</f>
        <v>0.6504</v>
      </c>
    </row>
    <row r="35" customFormat="false" ht="15" hidden="false" customHeight="true" outlineLevel="0" collapsed="false">
      <c r="A35" s="10" t="n">
        <v>28</v>
      </c>
      <c r="B35" s="10" t="s">
        <v>41</v>
      </c>
      <c r="C35" s="10" t="n">
        <v>1</v>
      </c>
      <c r="D35" s="11" t="n">
        <v>650.4</v>
      </c>
      <c r="E35" s="11" t="n">
        <v>430.8</v>
      </c>
      <c r="F35" s="10" t="n">
        <v>19.6</v>
      </c>
      <c r="G35" s="10" t="s">
        <v>40</v>
      </c>
      <c r="H35" s="11" t="n">
        <v>650.4</v>
      </c>
      <c r="I35" s="10"/>
      <c r="J35" s="12" t="n">
        <f aca="false">D35*E35/1000000</f>
        <v>0.28019232</v>
      </c>
      <c r="K35" s="12" t="n">
        <f aca="false">C35*J35</f>
        <v>0.28019232</v>
      </c>
      <c r="L35" s="13" t="n">
        <f aca="false">C35*H35/1000</f>
        <v>0.6504</v>
      </c>
    </row>
    <row r="36" customFormat="false" ht="15" hidden="false" customHeight="true" outlineLevel="0" collapsed="false">
      <c r="A36" s="10" t="n">
        <v>29</v>
      </c>
      <c r="B36" s="10" t="s">
        <v>42</v>
      </c>
      <c r="C36" s="10" t="n">
        <v>1</v>
      </c>
      <c r="D36" s="11" t="n">
        <v>460.8</v>
      </c>
      <c r="E36" s="11" t="n">
        <v>430.8</v>
      </c>
      <c r="F36" s="10" t="n">
        <v>19.6</v>
      </c>
      <c r="G36" s="10" t="s">
        <v>40</v>
      </c>
      <c r="H36" s="11" t="n">
        <v>460.8</v>
      </c>
      <c r="I36" s="10"/>
      <c r="J36" s="12" t="n">
        <f aca="false">D36*E36/1000000</f>
        <v>0.19851264</v>
      </c>
      <c r="K36" s="12" t="n">
        <f aca="false">C36*J36</f>
        <v>0.19851264</v>
      </c>
      <c r="L36" s="13" t="n">
        <f aca="false">C36*H36/1000</f>
        <v>0.4608</v>
      </c>
    </row>
    <row r="37" customFormat="false" ht="15" hidden="false" customHeight="true" outlineLevel="0" collapsed="false">
      <c r="A37" s="10" t="n">
        <v>30</v>
      </c>
      <c r="B37" s="10" t="s">
        <v>43</v>
      </c>
      <c r="C37" s="10" t="n">
        <v>1</v>
      </c>
      <c r="D37" s="11" t="n">
        <v>460.8</v>
      </c>
      <c r="E37" s="11" t="n">
        <v>430.8</v>
      </c>
      <c r="F37" s="10" t="n">
        <v>19.6</v>
      </c>
      <c r="G37" s="10" t="s">
        <v>40</v>
      </c>
      <c r="H37" s="11" t="n">
        <v>460.8</v>
      </c>
      <c r="I37" s="10"/>
      <c r="J37" s="12" t="n">
        <f aca="false">D37*E37/1000000</f>
        <v>0.19851264</v>
      </c>
      <c r="K37" s="12" t="n">
        <f aca="false">C37*J37</f>
        <v>0.19851264</v>
      </c>
      <c r="L37" s="13" t="n">
        <f aca="false">C37*H37/1000</f>
        <v>0.4608</v>
      </c>
    </row>
    <row r="38" customFormat="false" ht="15" hidden="false" customHeight="true" outlineLevel="0" collapsed="false">
      <c r="A38" s="10" t="n">
        <v>31</v>
      </c>
      <c r="B38" s="10" t="s">
        <v>46</v>
      </c>
      <c r="C38" s="10" t="n">
        <v>3</v>
      </c>
      <c r="D38" s="11" t="n">
        <v>396.6</v>
      </c>
      <c r="E38" s="11" t="n">
        <v>360.8</v>
      </c>
      <c r="F38" s="10" t="n">
        <v>19.6</v>
      </c>
      <c r="G38" s="10" t="s">
        <v>35</v>
      </c>
      <c r="H38" s="11" t="n">
        <v>0</v>
      </c>
      <c r="I38" s="10"/>
      <c r="J38" s="12" t="n">
        <f aca="false">D38*E38/1000000</f>
        <v>0.14309328</v>
      </c>
      <c r="K38" s="12" t="n">
        <f aca="false">C38*J38</f>
        <v>0.42927984</v>
      </c>
      <c r="L38" s="13" t="n">
        <f aca="false">C38*H38/1000</f>
        <v>0</v>
      </c>
    </row>
    <row r="39" customFormat="false" ht="15" hidden="false" customHeight="true" outlineLevel="0" collapsed="false">
      <c r="A39" s="10" t="n">
        <v>32</v>
      </c>
      <c r="B39" s="10" t="s">
        <v>47</v>
      </c>
      <c r="C39" s="10" t="n">
        <v>3</v>
      </c>
      <c r="D39" s="11" t="n">
        <v>497</v>
      </c>
      <c r="E39" s="11" t="n">
        <v>188.8</v>
      </c>
      <c r="F39" s="10" t="n">
        <v>19.6</v>
      </c>
      <c r="G39" s="10" t="s">
        <v>37</v>
      </c>
      <c r="H39" s="11" t="n">
        <v>1371.6</v>
      </c>
      <c r="I39" s="14" t="s">
        <v>48</v>
      </c>
      <c r="J39" s="12" t="n">
        <f aca="false">D39*E39/1000000</f>
        <v>0.0938336</v>
      </c>
      <c r="K39" s="12" t="n">
        <f aca="false">C39*J39</f>
        <v>0.2815008</v>
      </c>
      <c r="L39" s="13" t="n">
        <f aca="false">C39*H39/1000</f>
        <v>4.1148</v>
      </c>
    </row>
    <row r="40" customFormat="false" ht="15" hidden="false" customHeight="true" outlineLevel="0" collapsed="false">
      <c r="A40" s="10" t="n">
        <v>33</v>
      </c>
      <c r="B40" s="10" t="s">
        <v>49</v>
      </c>
      <c r="C40" s="10" t="n">
        <v>3</v>
      </c>
      <c r="D40" s="11" t="n">
        <v>396.6</v>
      </c>
      <c r="E40" s="11" t="n">
        <v>173.7</v>
      </c>
      <c r="F40" s="10" t="n">
        <v>19.6</v>
      </c>
      <c r="G40" s="10" t="s">
        <v>50</v>
      </c>
      <c r="H40" s="11" t="n">
        <v>396.6</v>
      </c>
      <c r="I40" s="10"/>
      <c r="J40" s="12" t="n">
        <f aca="false">D40*E40/1000000</f>
        <v>0.06888942</v>
      </c>
      <c r="K40" s="12" t="n">
        <f aca="false">C40*J40</f>
        <v>0.20666826</v>
      </c>
      <c r="L40" s="13" t="n">
        <f aca="false">C40*H40/1000</f>
        <v>1.1898</v>
      </c>
    </row>
    <row r="41" customFormat="false" ht="15" hidden="false" customHeight="true" outlineLevel="0" collapsed="false">
      <c r="A41" s="10" t="n">
        <v>34</v>
      </c>
      <c r="B41" s="10" t="s">
        <v>51</v>
      </c>
      <c r="C41" s="10" t="n">
        <v>3</v>
      </c>
      <c r="D41" s="11" t="n">
        <v>380.4</v>
      </c>
      <c r="E41" s="11" t="n">
        <v>173.7</v>
      </c>
      <c r="F41" s="10" t="n">
        <v>19.6</v>
      </c>
      <c r="G41" s="10" t="s">
        <v>50</v>
      </c>
      <c r="H41" s="11" t="n">
        <v>380.4</v>
      </c>
      <c r="I41" s="10"/>
      <c r="J41" s="12" t="n">
        <f aca="false">D41*E41/1000000</f>
        <v>0.06607548</v>
      </c>
      <c r="K41" s="12" t="n">
        <f aca="false">C41*J41</f>
        <v>0.19822644</v>
      </c>
      <c r="L41" s="13" t="n">
        <f aca="false">C41*H41/1000</f>
        <v>1.1412</v>
      </c>
    </row>
    <row r="42" customFormat="false" ht="15" hidden="false" customHeight="true" outlineLevel="0" collapsed="false">
      <c r="A42" s="10" t="n">
        <v>35</v>
      </c>
      <c r="B42" s="10" t="s">
        <v>52</v>
      </c>
      <c r="C42" s="10" t="n">
        <v>3</v>
      </c>
      <c r="D42" s="11" t="n">
        <v>380.4</v>
      </c>
      <c r="E42" s="11" t="n">
        <v>173.7</v>
      </c>
      <c r="F42" s="10" t="n">
        <v>19.6</v>
      </c>
      <c r="G42" s="10" t="s">
        <v>50</v>
      </c>
      <c r="H42" s="11" t="n">
        <v>380.4</v>
      </c>
      <c r="I42" s="10"/>
      <c r="J42" s="12" t="n">
        <f aca="false">D42*E42/1000000</f>
        <v>0.06607548</v>
      </c>
      <c r="K42" s="12" t="n">
        <f aca="false">C42*J42</f>
        <v>0.19822644</v>
      </c>
      <c r="L42" s="13" t="n">
        <f aca="false">C42*H42/1000</f>
        <v>1.1412</v>
      </c>
    </row>
    <row r="43" customFormat="false" ht="15" hidden="false" customHeight="true" outlineLevel="0" collapsed="false">
      <c r="A43" s="10" t="n">
        <v>36</v>
      </c>
      <c r="B43" s="10" t="s">
        <v>53</v>
      </c>
      <c r="C43" s="10" t="n">
        <v>1</v>
      </c>
      <c r="D43" s="11" t="n">
        <v>500</v>
      </c>
      <c r="E43" s="11" t="n">
        <v>80</v>
      </c>
      <c r="F43" s="10" t="n">
        <v>19.6</v>
      </c>
      <c r="G43" s="10" t="s">
        <v>35</v>
      </c>
      <c r="H43" s="11" t="n">
        <v>0</v>
      </c>
      <c r="I43" s="10"/>
      <c r="J43" s="12" t="n">
        <f aca="false">D43*E43/1000000</f>
        <v>0.04</v>
      </c>
      <c r="K43" s="12" t="n">
        <f aca="false">C43*J43</f>
        <v>0.04</v>
      </c>
      <c r="L43" s="13" t="n">
        <f aca="false">C43*H43/1000</f>
        <v>0</v>
      </c>
    </row>
    <row r="44" customFormat="false" ht="15" hidden="false" customHeight="true" outlineLevel="0" collapsed="false">
      <c r="A44" s="10" t="n">
        <v>37</v>
      </c>
      <c r="B44" s="10" t="s">
        <v>54</v>
      </c>
      <c r="C44" s="10" t="n">
        <v>1</v>
      </c>
      <c r="D44" s="11" t="n">
        <v>500</v>
      </c>
      <c r="E44" s="11" t="n">
        <v>80</v>
      </c>
      <c r="F44" s="10" t="n">
        <v>19.6</v>
      </c>
      <c r="G44" s="10" t="s">
        <v>35</v>
      </c>
      <c r="H44" s="11" t="n">
        <v>0</v>
      </c>
      <c r="I44" s="10"/>
      <c r="J44" s="12" t="n">
        <f aca="false">D44*E44/1000000</f>
        <v>0.04</v>
      </c>
      <c r="K44" s="12" t="n">
        <f aca="false">C44*J44</f>
        <v>0.04</v>
      </c>
      <c r="L44" s="13" t="n">
        <f aca="false">C44*H44/1000</f>
        <v>0</v>
      </c>
    </row>
    <row r="45" customFormat="false" ht="15" hidden="false" customHeight="true" outlineLevel="0" collapsed="false">
      <c r="A45" s="8" t="s">
        <v>69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true" outlineLevel="0" collapsed="false">
      <c r="A46" s="10" t="n">
        <v>38</v>
      </c>
      <c r="B46" s="10" t="s">
        <v>39</v>
      </c>
      <c r="C46" s="10" t="n">
        <v>1</v>
      </c>
      <c r="D46" s="11" t="n">
        <v>1990</v>
      </c>
      <c r="E46" s="11" t="n">
        <v>430.8</v>
      </c>
      <c r="F46" s="10" t="n">
        <v>19.6</v>
      </c>
      <c r="G46" s="10" t="s">
        <v>40</v>
      </c>
      <c r="H46" s="11" t="n">
        <v>1990</v>
      </c>
      <c r="I46" s="10"/>
      <c r="J46" s="12" t="n">
        <f aca="false">D46*E46/1000000</f>
        <v>0.857292</v>
      </c>
      <c r="K46" s="12" t="n">
        <f aca="false">C46*J46</f>
        <v>0.857292</v>
      </c>
      <c r="L46" s="13" t="n">
        <f aca="false">C46*H46/1000</f>
        <v>1.99</v>
      </c>
    </row>
    <row r="47" customFormat="false" ht="15" hidden="false" customHeight="true" outlineLevel="0" collapsed="false">
      <c r="A47" s="10" t="n">
        <v>39</v>
      </c>
      <c r="B47" s="10" t="s">
        <v>41</v>
      </c>
      <c r="C47" s="10" t="n">
        <v>1</v>
      </c>
      <c r="D47" s="11" t="n">
        <v>1990</v>
      </c>
      <c r="E47" s="11" t="n">
        <v>430.8</v>
      </c>
      <c r="F47" s="10" t="n">
        <v>19.6</v>
      </c>
      <c r="G47" s="10" t="s">
        <v>40</v>
      </c>
      <c r="H47" s="11" t="n">
        <v>1990</v>
      </c>
      <c r="I47" s="10"/>
      <c r="J47" s="12" t="n">
        <f aca="false">D47*E47/1000000</f>
        <v>0.857292</v>
      </c>
      <c r="K47" s="12" t="n">
        <f aca="false">C47*J47</f>
        <v>0.857292</v>
      </c>
      <c r="L47" s="13" t="n">
        <f aca="false">C47*H47/1000</f>
        <v>1.99</v>
      </c>
    </row>
    <row r="48" customFormat="false" ht="15" hidden="false" customHeight="true" outlineLevel="0" collapsed="false">
      <c r="A48" s="10" t="n">
        <v>40</v>
      </c>
      <c r="B48" s="10" t="s">
        <v>34</v>
      </c>
      <c r="C48" s="10" t="n">
        <v>1</v>
      </c>
      <c r="D48" s="11" t="n">
        <v>1990</v>
      </c>
      <c r="E48" s="11" t="n">
        <v>250</v>
      </c>
      <c r="F48" s="10" t="n">
        <v>19.6</v>
      </c>
      <c r="G48" s="10" t="s">
        <v>35</v>
      </c>
      <c r="H48" s="11" t="n">
        <v>0</v>
      </c>
      <c r="I48" s="10"/>
      <c r="J48" s="12" t="n">
        <f aca="false">D48*E48/1000000</f>
        <v>0.4975</v>
      </c>
      <c r="K48" s="12" t="n">
        <f aca="false">C48*J48</f>
        <v>0.4975</v>
      </c>
      <c r="L48" s="13" t="n">
        <f aca="false">C48*H48/1000</f>
        <v>0</v>
      </c>
    </row>
    <row r="49" customFormat="false" ht="15" hidden="false" customHeight="true" outlineLevel="0" collapsed="false">
      <c r="A49" s="10" t="n">
        <v>41</v>
      </c>
      <c r="B49" s="10" t="s">
        <v>36</v>
      </c>
      <c r="C49" s="10" t="n">
        <v>1</v>
      </c>
      <c r="D49" s="11" t="n">
        <v>1962</v>
      </c>
      <c r="E49" s="11" t="n">
        <v>237</v>
      </c>
      <c r="F49" s="10" t="n">
        <v>19.6</v>
      </c>
      <c r="G49" s="10" t="s">
        <v>37</v>
      </c>
      <c r="H49" s="11" t="n">
        <v>4398</v>
      </c>
      <c r="I49" s="14" t="s">
        <v>70</v>
      </c>
      <c r="J49" s="12" t="n">
        <f aca="false">D49*E49/1000000</f>
        <v>0.464994</v>
      </c>
      <c r="K49" s="12" t="n">
        <f aca="false">C49*J49</f>
        <v>0.464994</v>
      </c>
      <c r="L49" s="13" t="n">
        <f aca="false">C49*H49/1000</f>
        <v>4.398</v>
      </c>
    </row>
    <row r="50" customFormat="false" ht="15" hidden="false" customHeight="true" outlineLevel="0" collapsed="false">
      <c r="A50" s="10" t="n">
        <v>42</v>
      </c>
      <c r="B50" s="10" t="s">
        <v>42</v>
      </c>
      <c r="C50" s="10" t="n">
        <v>1</v>
      </c>
      <c r="D50" s="11" t="n">
        <v>430.8</v>
      </c>
      <c r="E50" s="11" t="n">
        <v>210.8</v>
      </c>
      <c r="F50" s="10" t="n">
        <v>19.6</v>
      </c>
      <c r="G50" s="10" t="s">
        <v>71</v>
      </c>
      <c r="H50" s="11" t="n">
        <v>210.8</v>
      </c>
      <c r="I50" s="10"/>
      <c r="J50" s="12" t="n">
        <f aca="false">D50*E50/1000000</f>
        <v>0.09081264</v>
      </c>
      <c r="K50" s="12" t="n">
        <f aca="false">C50*J50</f>
        <v>0.09081264</v>
      </c>
      <c r="L50" s="13" t="n">
        <f aca="false">C50*H50/1000</f>
        <v>0.2108</v>
      </c>
    </row>
    <row r="51" customFormat="false" ht="15" hidden="false" customHeight="true" outlineLevel="0" collapsed="false">
      <c r="A51" s="10" t="n">
        <v>43</v>
      </c>
      <c r="B51" s="10" t="s">
        <v>43</v>
      </c>
      <c r="C51" s="10" t="n">
        <v>1</v>
      </c>
      <c r="D51" s="11" t="n">
        <v>430.8</v>
      </c>
      <c r="E51" s="11" t="n">
        <v>210.8</v>
      </c>
      <c r="F51" s="10" t="n">
        <v>19.6</v>
      </c>
      <c r="G51" s="10" t="s">
        <v>71</v>
      </c>
      <c r="H51" s="11" t="n">
        <v>210.8</v>
      </c>
      <c r="I51" s="10"/>
      <c r="J51" s="12" t="n">
        <f aca="false">D51*E51/1000000</f>
        <v>0.09081264</v>
      </c>
      <c r="K51" s="12" t="n">
        <f aca="false">C51*J51</f>
        <v>0.09081264</v>
      </c>
      <c r="L51" s="13" t="n">
        <f aca="false">C51*H51/1000</f>
        <v>0.2108</v>
      </c>
    </row>
    <row r="52" customFormat="false" ht="15" hidden="false" customHeight="true" outlineLevel="0" collapsed="false">
      <c r="A52" s="10" t="n">
        <v>44</v>
      </c>
      <c r="B52" s="10" t="s">
        <v>72</v>
      </c>
      <c r="C52" s="10" t="n">
        <v>5</v>
      </c>
      <c r="D52" s="11" t="n">
        <v>410.8</v>
      </c>
      <c r="E52" s="11" t="n">
        <v>210.8</v>
      </c>
      <c r="F52" s="10" t="n">
        <v>19.6</v>
      </c>
      <c r="G52" s="10" t="s">
        <v>71</v>
      </c>
      <c r="H52" s="11" t="n">
        <v>210.8</v>
      </c>
      <c r="I52" s="10"/>
      <c r="J52" s="12" t="n">
        <f aca="false">D52*E52/1000000</f>
        <v>0.08659664</v>
      </c>
      <c r="K52" s="12" t="n">
        <f aca="false">C52*J52</f>
        <v>0.4329832</v>
      </c>
      <c r="L52" s="13" t="n">
        <f aca="false">C52*H52/1000</f>
        <v>1.054</v>
      </c>
    </row>
    <row r="53" customFormat="false" ht="15" hidden="false" customHeight="true" outlineLevel="0" collapsed="false">
      <c r="A53" s="10" t="n">
        <v>45</v>
      </c>
      <c r="B53" s="10" t="s">
        <v>53</v>
      </c>
      <c r="C53" s="10" t="n">
        <v>1</v>
      </c>
      <c r="D53" s="11" t="n">
        <v>250</v>
      </c>
      <c r="E53" s="11" t="n">
        <v>80</v>
      </c>
      <c r="F53" s="10" t="n">
        <v>19.6</v>
      </c>
      <c r="G53" s="10" t="s">
        <v>35</v>
      </c>
      <c r="H53" s="11" t="n">
        <v>0</v>
      </c>
      <c r="I53" s="10"/>
      <c r="J53" s="12" t="n">
        <f aca="false">D53*E53/1000000</f>
        <v>0.02</v>
      </c>
      <c r="K53" s="12" t="n">
        <f aca="false">C53*J53</f>
        <v>0.02</v>
      </c>
      <c r="L53" s="13" t="n">
        <f aca="false">C53*H53/1000</f>
        <v>0</v>
      </c>
    </row>
    <row r="54" customFormat="false" ht="15" hidden="false" customHeight="true" outlineLevel="0" collapsed="false">
      <c r="A54" s="10" t="n">
        <v>46</v>
      </c>
      <c r="B54" s="10" t="s">
        <v>54</v>
      </c>
      <c r="C54" s="10" t="n">
        <v>1</v>
      </c>
      <c r="D54" s="11" t="n">
        <v>250</v>
      </c>
      <c r="E54" s="11" t="n">
        <v>80</v>
      </c>
      <c r="F54" s="10" t="n">
        <v>19.6</v>
      </c>
      <c r="G54" s="10" t="s">
        <v>35</v>
      </c>
      <c r="H54" s="11" t="n">
        <v>0</v>
      </c>
      <c r="I54" s="10"/>
      <c r="J54" s="12" t="n">
        <f aca="false">D54*E54/1000000</f>
        <v>0.02</v>
      </c>
      <c r="K54" s="12" t="n">
        <f aca="false">C54*J54</f>
        <v>0.02</v>
      </c>
      <c r="L54" s="13" t="n">
        <f aca="false">C54*H54/1000</f>
        <v>0</v>
      </c>
    </row>
    <row r="55" customFormat="false" ht="15" hidden="false" customHeight="true" outlineLevel="0" collapsed="false">
      <c r="A55" s="8" t="s">
        <v>73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15" hidden="false" customHeight="true" outlineLevel="0" collapsed="false">
      <c r="A56" s="10" t="n">
        <v>47</v>
      </c>
      <c r="B56" s="10" t="s">
        <v>42</v>
      </c>
      <c r="C56" s="10" t="n">
        <v>1</v>
      </c>
      <c r="D56" s="11" t="n">
        <v>480.8</v>
      </c>
      <c r="E56" s="11" t="n">
        <v>430.8</v>
      </c>
      <c r="F56" s="10" t="n">
        <v>19.6</v>
      </c>
      <c r="G56" s="10" t="s">
        <v>40</v>
      </c>
      <c r="H56" s="11" t="n">
        <v>480.8</v>
      </c>
      <c r="I56" s="10"/>
      <c r="J56" s="12" t="n">
        <f aca="false">D56*E56/1000000</f>
        <v>0.20712864</v>
      </c>
      <c r="K56" s="12" t="n">
        <f aca="false">C56*J56</f>
        <v>0.20712864</v>
      </c>
      <c r="L56" s="13" t="n">
        <f aca="false">C56*H56/1000</f>
        <v>0.4808</v>
      </c>
    </row>
    <row r="57" customFormat="false" ht="15" hidden="false" customHeight="true" outlineLevel="0" collapsed="false">
      <c r="A57" s="10" t="n">
        <v>48</v>
      </c>
      <c r="B57" s="10" t="s">
        <v>43</v>
      </c>
      <c r="C57" s="10" t="n">
        <v>1</v>
      </c>
      <c r="D57" s="11" t="n">
        <v>480.8</v>
      </c>
      <c r="E57" s="11" t="n">
        <v>430.8</v>
      </c>
      <c r="F57" s="10" t="n">
        <v>19.6</v>
      </c>
      <c r="G57" s="10" t="s">
        <v>40</v>
      </c>
      <c r="H57" s="11" t="n">
        <v>480.8</v>
      </c>
      <c r="I57" s="10"/>
      <c r="J57" s="12" t="n">
        <f aca="false">D57*E57/1000000</f>
        <v>0.20712864</v>
      </c>
      <c r="K57" s="12" t="n">
        <f aca="false">C57*J57</f>
        <v>0.20712864</v>
      </c>
      <c r="L57" s="13" t="n">
        <f aca="false">C57*H57/1000</f>
        <v>0.4808</v>
      </c>
    </row>
    <row r="58" customFormat="false" ht="15" hidden="false" customHeight="true" outlineLevel="0" collapsed="false">
      <c r="A58" s="10" t="n">
        <v>49</v>
      </c>
      <c r="B58" s="10" t="s">
        <v>34</v>
      </c>
      <c r="C58" s="10" t="n">
        <v>1</v>
      </c>
      <c r="D58" s="11" t="n">
        <v>520</v>
      </c>
      <c r="E58" s="11" t="n">
        <v>300</v>
      </c>
      <c r="F58" s="10" t="n">
        <v>19.6</v>
      </c>
      <c r="G58" s="10" t="s">
        <v>35</v>
      </c>
      <c r="H58" s="11" t="n">
        <v>0</v>
      </c>
      <c r="I58" s="10"/>
      <c r="J58" s="12" t="n">
        <f aca="false">D58*E58/1000000</f>
        <v>0.156</v>
      </c>
      <c r="K58" s="12" t="n">
        <f aca="false">C58*J58</f>
        <v>0.156</v>
      </c>
      <c r="L58" s="13" t="n">
        <f aca="false">C58*H58/1000</f>
        <v>0</v>
      </c>
    </row>
    <row r="59" customFormat="false" ht="15" hidden="false" customHeight="true" outlineLevel="0" collapsed="false">
      <c r="A59" s="10" t="n">
        <v>50</v>
      </c>
      <c r="B59" s="10" t="s">
        <v>36</v>
      </c>
      <c r="C59" s="10" t="n">
        <v>1</v>
      </c>
      <c r="D59" s="11" t="n">
        <v>507</v>
      </c>
      <c r="E59" s="11" t="n">
        <v>297</v>
      </c>
      <c r="F59" s="10" t="n">
        <v>19.6</v>
      </c>
      <c r="G59" s="10" t="s">
        <v>37</v>
      </c>
      <c r="H59" s="11" t="n">
        <v>1608</v>
      </c>
      <c r="I59" s="14" t="s">
        <v>64</v>
      </c>
      <c r="J59" s="12" t="n">
        <f aca="false">D59*E59/1000000</f>
        <v>0.150579</v>
      </c>
      <c r="K59" s="12" t="n">
        <f aca="false">C59*J59</f>
        <v>0.150579</v>
      </c>
      <c r="L59" s="13" t="n">
        <f aca="false">C59*H59/1000</f>
        <v>1.608</v>
      </c>
    </row>
    <row r="60" customFormat="false" ht="15" hidden="false" customHeight="true" outlineLevel="0" collapsed="false">
      <c r="A60" s="10" t="n">
        <v>51</v>
      </c>
      <c r="B60" s="10" t="s">
        <v>39</v>
      </c>
      <c r="C60" s="10" t="n">
        <v>1</v>
      </c>
      <c r="D60" s="11" t="n">
        <v>430.8</v>
      </c>
      <c r="E60" s="11" t="n">
        <v>300</v>
      </c>
      <c r="F60" s="10" t="n">
        <v>19.6</v>
      </c>
      <c r="G60" s="10" t="s">
        <v>71</v>
      </c>
      <c r="H60" s="11" t="n">
        <v>300</v>
      </c>
      <c r="I60" s="10"/>
      <c r="J60" s="12" t="n">
        <f aca="false">D60*E60/1000000</f>
        <v>0.12924</v>
      </c>
      <c r="K60" s="12" t="n">
        <f aca="false">C60*J60</f>
        <v>0.12924</v>
      </c>
      <c r="L60" s="13" t="n">
        <f aca="false">C60*H60/1000</f>
        <v>0.3</v>
      </c>
    </row>
    <row r="61" customFormat="false" ht="15" hidden="false" customHeight="true" outlineLevel="0" collapsed="false">
      <c r="A61" s="10" t="n">
        <v>52</v>
      </c>
      <c r="B61" s="10" t="s">
        <v>41</v>
      </c>
      <c r="C61" s="10" t="n">
        <v>1</v>
      </c>
      <c r="D61" s="11" t="n">
        <v>430.8</v>
      </c>
      <c r="E61" s="11" t="n">
        <v>300</v>
      </c>
      <c r="F61" s="10" t="n">
        <v>19.6</v>
      </c>
      <c r="G61" s="10" t="s">
        <v>71</v>
      </c>
      <c r="H61" s="11" t="n">
        <v>300</v>
      </c>
      <c r="I61" s="10"/>
      <c r="J61" s="12" t="n">
        <f aca="false">D61*E61/1000000</f>
        <v>0.12924</v>
      </c>
      <c r="K61" s="12" t="n">
        <f aca="false">C61*J61</f>
        <v>0.12924</v>
      </c>
      <c r="L61" s="13" t="n">
        <f aca="false">C61*H61/1000</f>
        <v>0.3</v>
      </c>
    </row>
    <row r="62" customFormat="false" ht="15" hidden="false" customHeight="true" outlineLevel="0" collapsed="false">
      <c r="A62" s="8" t="s">
        <v>74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customFormat="false" ht="15" hidden="false" customHeight="true" outlineLevel="0" collapsed="false">
      <c r="A63" s="10" t="n">
        <v>53</v>
      </c>
      <c r="B63" s="10" t="s">
        <v>42</v>
      </c>
      <c r="C63" s="10" t="n">
        <v>1</v>
      </c>
      <c r="D63" s="11" t="n">
        <v>1260.8</v>
      </c>
      <c r="E63" s="11" t="n">
        <v>430.8</v>
      </c>
      <c r="F63" s="10" t="n">
        <v>19.6</v>
      </c>
      <c r="G63" s="10" t="s">
        <v>40</v>
      </c>
      <c r="H63" s="11" t="n">
        <v>1260.8</v>
      </c>
      <c r="I63" s="10"/>
      <c r="J63" s="12" t="n">
        <f aca="false">D63*E63/1000000</f>
        <v>0.54315264</v>
      </c>
      <c r="K63" s="12" t="n">
        <f aca="false">C63*J63</f>
        <v>0.54315264</v>
      </c>
      <c r="L63" s="13" t="n">
        <f aca="false">C63*H63/1000</f>
        <v>1.2608</v>
      </c>
    </row>
    <row r="64" customFormat="false" ht="15" hidden="false" customHeight="true" outlineLevel="0" collapsed="false">
      <c r="A64" s="10" t="n">
        <v>54</v>
      </c>
      <c r="B64" s="10" t="s">
        <v>43</v>
      </c>
      <c r="C64" s="10" t="n">
        <v>1</v>
      </c>
      <c r="D64" s="11" t="n">
        <v>1260.8</v>
      </c>
      <c r="E64" s="11" t="n">
        <v>430.8</v>
      </c>
      <c r="F64" s="10" t="n">
        <v>19.6</v>
      </c>
      <c r="G64" s="10" t="s">
        <v>40</v>
      </c>
      <c r="H64" s="11" t="n">
        <v>1260.8</v>
      </c>
      <c r="I64" s="10"/>
      <c r="J64" s="12" t="n">
        <f aca="false">D64*E64/1000000</f>
        <v>0.54315264</v>
      </c>
      <c r="K64" s="12" t="n">
        <f aca="false">C64*J64</f>
        <v>0.54315264</v>
      </c>
      <c r="L64" s="13" t="n">
        <f aca="false">C64*H64/1000</f>
        <v>1.2608</v>
      </c>
    </row>
    <row r="65" customFormat="false" ht="15" hidden="false" customHeight="true" outlineLevel="0" collapsed="false">
      <c r="A65" s="10" t="n">
        <v>55</v>
      </c>
      <c r="B65" s="10" t="s">
        <v>34</v>
      </c>
      <c r="C65" s="10" t="n">
        <v>1</v>
      </c>
      <c r="D65" s="11" t="n">
        <v>1300</v>
      </c>
      <c r="E65" s="11" t="n">
        <v>300</v>
      </c>
      <c r="F65" s="10" t="n">
        <v>19.6</v>
      </c>
      <c r="G65" s="10" t="s">
        <v>35</v>
      </c>
      <c r="H65" s="11" t="n">
        <v>0</v>
      </c>
      <c r="I65" s="10"/>
      <c r="J65" s="12" t="n">
        <f aca="false">D65*E65/1000000</f>
        <v>0.39</v>
      </c>
      <c r="K65" s="12" t="n">
        <f aca="false">C65*J65</f>
        <v>0.39</v>
      </c>
      <c r="L65" s="13" t="n">
        <f aca="false">C65*H65/1000</f>
        <v>0</v>
      </c>
    </row>
    <row r="66" customFormat="false" ht="15" hidden="false" customHeight="true" outlineLevel="0" collapsed="false">
      <c r="A66" s="10" t="n">
        <v>56</v>
      </c>
      <c r="B66" s="10" t="s">
        <v>36</v>
      </c>
      <c r="C66" s="10" t="n">
        <v>2</v>
      </c>
      <c r="D66" s="11" t="n">
        <v>647</v>
      </c>
      <c r="E66" s="11" t="n">
        <v>297</v>
      </c>
      <c r="F66" s="10" t="n">
        <v>19.6</v>
      </c>
      <c r="G66" s="10" t="s">
        <v>37</v>
      </c>
      <c r="H66" s="11" t="n">
        <v>1888</v>
      </c>
      <c r="I66" s="14" t="s">
        <v>64</v>
      </c>
      <c r="J66" s="12" t="n">
        <f aca="false">D66*E66/1000000</f>
        <v>0.192159</v>
      </c>
      <c r="K66" s="12" t="n">
        <f aca="false">C66*J66</f>
        <v>0.384318</v>
      </c>
      <c r="L66" s="13" t="n">
        <f aca="false">C66*H66/1000</f>
        <v>3.776</v>
      </c>
    </row>
    <row r="67" customFormat="false" ht="15" hidden="false" customHeight="true" outlineLevel="0" collapsed="false">
      <c r="A67" s="10" t="n">
        <v>57</v>
      </c>
      <c r="B67" s="10" t="s">
        <v>39</v>
      </c>
      <c r="C67" s="10" t="n">
        <v>1</v>
      </c>
      <c r="D67" s="11" t="n">
        <v>430.8</v>
      </c>
      <c r="E67" s="11" t="n">
        <v>300</v>
      </c>
      <c r="F67" s="10" t="n">
        <v>19.6</v>
      </c>
      <c r="G67" s="10" t="s">
        <v>71</v>
      </c>
      <c r="H67" s="11" t="n">
        <v>300</v>
      </c>
      <c r="I67" s="10"/>
      <c r="J67" s="12" t="n">
        <f aca="false">D67*E67/1000000</f>
        <v>0.12924</v>
      </c>
      <c r="K67" s="12" t="n">
        <f aca="false">C67*J67</f>
        <v>0.12924</v>
      </c>
      <c r="L67" s="13" t="n">
        <f aca="false">C67*H67/1000</f>
        <v>0.3</v>
      </c>
    </row>
    <row r="68" customFormat="false" ht="15" hidden="false" customHeight="true" outlineLevel="0" collapsed="false">
      <c r="A68" s="10" t="n">
        <v>58</v>
      </c>
      <c r="B68" s="10" t="s">
        <v>41</v>
      </c>
      <c r="C68" s="10" t="n">
        <v>1</v>
      </c>
      <c r="D68" s="11" t="n">
        <v>430.8</v>
      </c>
      <c r="E68" s="11" t="n">
        <v>300</v>
      </c>
      <c r="F68" s="10" t="n">
        <v>19.6</v>
      </c>
      <c r="G68" s="10" t="s">
        <v>71</v>
      </c>
      <c r="H68" s="11" t="n">
        <v>300</v>
      </c>
      <c r="I68" s="10"/>
      <c r="J68" s="12" t="n">
        <f aca="false">D68*E68/1000000</f>
        <v>0.12924</v>
      </c>
      <c r="K68" s="12" t="n">
        <f aca="false">C68*J68</f>
        <v>0.12924</v>
      </c>
      <c r="L68" s="13" t="n">
        <f aca="false">C68*H68/1000</f>
        <v>0.3</v>
      </c>
    </row>
    <row r="69" customFormat="false" ht="15" hidden="false" customHeight="true" outlineLevel="0" collapsed="false">
      <c r="A69" s="8" t="s">
        <v>75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customFormat="false" ht="15" hidden="false" customHeight="true" outlineLevel="0" collapsed="false">
      <c r="A70" s="10" t="n">
        <v>59</v>
      </c>
      <c r="B70" s="10" t="s">
        <v>39</v>
      </c>
      <c r="C70" s="10" t="n">
        <v>1</v>
      </c>
      <c r="D70" s="11" t="n">
        <v>430.8</v>
      </c>
      <c r="E70" s="11" t="n">
        <v>300</v>
      </c>
      <c r="F70" s="10" t="n">
        <v>19.6</v>
      </c>
      <c r="G70" s="10" t="s">
        <v>71</v>
      </c>
      <c r="H70" s="11" t="n">
        <v>300</v>
      </c>
      <c r="I70" s="10"/>
      <c r="J70" s="12" t="n">
        <f aca="false">D70*E70/1000000</f>
        <v>0.12924</v>
      </c>
      <c r="K70" s="12" t="n">
        <f aca="false">C70*J70</f>
        <v>0.12924</v>
      </c>
      <c r="L70" s="13" t="n">
        <f aca="false">C70*H70/1000</f>
        <v>0.3</v>
      </c>
    </row>
    <row r="71" customFormat="false" ht="15" hidden="false" customHeight="true" outlineLevel="0" collapsed="false">
      <c r="A71" s="10" t="n">
        <v>60</v>
      </c>
      <c r="B71" s="10" t="s">
        <v>41</v>
      </c>
      <c r="C71" s="10" t="n">
        <v>1</v>
      </c>
      <c r="D71" s="11" t="n">
        <v>430.8</v>
      </c>
      <c r="E71" s="11" t="n">
        <v>300</v>
      </c>
      <c r="F71" s="10" t="n">
        <v>19.6</v>
      </c>
      <c r="G71" s="10" t="s">
        <v>71</v>
      </c>
      <c r="H71" s="11" t="n">
        <v>300</v>
      </c>
      <c r="I71" s="10"/>
      <c r="J71" s="12" t="n">
        <f aca="false">D71*E71/1000000</f>
        <v>0.12924</v>
      </c>
      <c r="K71" s="12" t="n">
        <f aca="false">C71*J71</f>
        <v>0.12924</v>
      </c>
      <c r="L71" s="13" t="n">
        <f aca="false">C71*H71/1000</f>
        <v>0.3</v>
      </c>
    </row>
    <row r="72" customFormat="false" ht="15" hidden="false" customHeight="true" outlineLevel="0" collapsed="false">
      <c r="A72" s="10" t="n">
        <v>61</v>
      </c>
      <c r="B72" s="10" t="s">
        <v>42</v>
      </c>
      <c r="C72" s="10" t="n">
        <v>1</v>
      </c>
      <c r="D72" s="11" t="n">
        <v>430.8</v>
      </c>
      <c r="E72" s="11" t="n">
        <v>210.8</v>
      </c>
      <c r="F72" s="10" t="n">
        <v>19.6</v>
      </c>
      <c r="G72" s="10" t="s">
        <v>71</v>
      </c>
      <c r="H72" s="11" t="n">
        <v>210.8</v>
      </c>
      <c r="I72" s="10"/>
      <c r="J72" s="12" t="n">
        <f aca="false">D72*E72/1000000</f>
        <v>0.09081264</v>
      </c>
      <c r="K72" s="12" t="n">
        <f aca="false">C72*J72</f>
        <v>0.09081264</v>
      </c>
      <c r="L72" s="13" t="n">
        <f aca="false">C72*H72/1000</f>
        <v>0.2108</v>
      </c>
    </row>
    <row r="73" customFormat="false" ht="15" hidden="false" customHeight="true" outlineLevel="0" collapsed="false">
      <c r="A73" s="10" t="n">
        <v>62</v>
      </c>
      <c r="B73" s="10" t="s">
        <v>43</v>
      </c>
      <c r="C73" s="10" t="n">
        <v>1</v>
      </c>
      <c r="D73" s="11" t="n">
        <v>430.8</v>
      </c>
      <c r="E73" s="11" t="n">
        <v>210.8</v>
      </c>
      <c r="F73" s="10" t="n">
        <v>19.6</v>
      </c>
      <c r="G73" s="10" t="s">
        <v>71</v>
      </c>
      <c r="H73" s="11" t="n">
        <v>210.8</v>
      </c>
      <c r="I73" s="10"/>
      <c r="J73" s="12" t="n">
        <f aca="false">D73*E73/1000000</f>
        <v>0.09081264</v>
      </c>
      <c r="K73" s="12" t="n">
        <f aca="false">C73*J73</f>
        <v>0.09081264</v>
      </c>
      <c r="L73" s="13" t="n">
        <f aca="false">C73*H73/1000</f>
        <v>0.2108</v>
      </c>
    </row>
    <row r="74" customFormat="false" ht="15" hidden="false" customHeight="true" outlineLevel="0" collapsed="false">
      <c r="A74" s="10" t="n">
        <v>63</v>
      </c>
      <c r="B74" s="10" t="s">
        <v>34</v>
      </c>
      <c r="C74" s="10" t="n">
        <v>1</v>
      </c>
      <c r="D74" s="11" t="n">
        <v>300</v>
      </c>
      <c r="E74" s="11" t="n">
        <v>250</v>
      </c>
      <c r="F74" s="10" t="n">
        <v>19.6</v>
      </c>
      <c r="G74" s="10" t="s">
        <v>35</v>
      </c>
      <c r="H74" s="11" t="n">
        <v>0</v>
      </c>
      <c r="I74" s="10"/>
      <c r="J74" s="12" t="n">
        <f aca="false">D74*E74/1000000</f>
        <v>0.075</v>
      </c>
      <c r="K74" s="12" t="n">
        <f aca="false">C74*J74</f>
        <v>0.075</v>
      </c>
      <c r="L74" s="13" t="n">
        <f aca="false">C74*H74/1000</f>
        <v>0</v>
      </c>
    </row>
    <row r="75" customFormat="false" ht="15" hidden="false" customHeight="true" outlineLevel="0" collapsed="false">
      <c r="A75" s="10" t="n">
        <v>64</v>
      </c>
      <c r="B75" s="10" t="s">
        <v>36</v>
      </c>
      <c r="C75" s="10" t="n">
        <v>1</v>
      </c>
      <c r="D75" s="11" t="n">
        <v>297</v>
      </c>
      <c r="E75" s="11" t="n">
        <v>237</v>
      </c>
      <c r="F75" s="10" t="n">
        <v>19.6</v>
      </c>
      <c r="G75" s="10" t="s">
        <v>37</v>
      </c>
      <c r="H75" s="11" t="n">
        <v>1068</v>
      </c>
      <c r="I75" s="14" t="s">
        <v>64</v>
      </c>
      <c r="J75" s="12" t="n">
        <f aca="false">D75*E75/1000000</f>
        <v>0.070389</v>
      </c>
      <c r="K75" s="12" t="n">
        <f aca="false">C75*J75</f>
        <v>0.070389</v>
      </c>
      <c r="L75" s="13" t="n">
        <f aca="false">C75*H75/1000</f>
        <v>1.068</v>
      </c>
    </row>
    <row r="76" customFormat="false" ht="15" hidden="false" customHeight="true" outlineLevel="0" collapsed="false">
      <c r="A76" s="8" t="s">
        <v>76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customFormat="false" ht="15" hidden="false" customHeight="true" outlineLevel="0" collapsed="false">
      <c r="A77" s="10" t="n">
        <v>65</v>
      </c>
      <c r="B77" s="10" t="s">
        <v>77</v>
      </c>
      <c r="C77" s="10" t="n">
        <v>1</v>
      </c>
      <c r="D77" s="11" t="n">
        <v>2380</v>
      </c>
      <c r="E77" s="11" t="n">
        <v>40</v>
      </c>
      <c r="F77" s="10" t="n">
        <v>19.6</v>
      </c>
      <c r="G77" s="10" t="s">
        <v>35</v>
      </c>
      <c r="H77" s="11" t="n">
        <v>0</v>
      </c>
      <c r="I77" s="10" t="s">
        <v>78</v>
      </c>
      <c r="J77" s="12" t="n">
        <f aca="false">D77*E77/1000000</f>
        <v>0.0952</v>
      </c>
      <c r="K77" s="12" t="n">
        <f aca="false">C77*J77</f>
        <v>0.0952</v>
      </c>
      <c r="L77" s="13" t="n">
        <f aca="false">C77*H77/1000</f>
        <v>0</v>
      </c>
    </row>
    <row r="78" customFormat="false" ht="15" hidden="false" customHeight="true" outlineLevel="0" collapsed="false">
      <c r="A78" s="10" t="n">
        <v>66</v>
      </c>
      <c r="B78" s="10" t="s">
        <v>79</v>
      </c>
      <c r="C78" s="10" t="n">
        <v>1</v>
      </c>
      <c r="D78" s="11" t="n">
        <v>2070</v>
      </c>
      <c r="E78" s="11" t="n">
        <v>40</v>
      </c>
      <c r="F78" s="10" t="n">
        <v>19.6</v>
      </c>
      <c r="G78" s="10" t="s">
        <v>35</v>
      </c>
      <c r="H78" s="11" t="n">
        <v>0</v>
      </c>
      <c r="I78" s="10" t="s">
        <v>78</v>
      </c>
      <c r="J78" s="12" t="n">
        <f aca="false">D78*E78/1000000</f>
        <v>0.0828</v>
      </c>
      <c r="K78" s="12" t="n">
        <f aca="false">C78*J78</f>
        <v>0.0828</v>
      </c>
      <c r="L78" s="13" t="n">
        <f aca="false">C78*H78/1000</f>
        <v>0</v>
      </c>
    </row>
    <row r="80" customFormat="false" ht="15" hidden="false" customHeight="true" outlineLevel="0" collapsed="false">
      <c r="B80" s="15" t="s">
        <v>80</v>
      </c>
      <c r="C80" s="15" t="n">
        <f aca="false">SUM(C5:C78)</f>
        <v>87</v>
      </c>
      <c r="J80" s="15" t="s">
        <v>81</v>
      </c>
      <c r="K80" s="16" t="n">
        <f aca="false">SUM(K5:K78)</f>
        <v>19.82569394</v>
      </c>
      <c r="L80" s="17" t="n">
        <f aca="false">SUM(L5:L78)</f>
        <v>54.9828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6" min="5" style="1" width="15"/>
    <col collapsed="false" customWidth="true" hidden="false" outlineLevel="0" max="8" min="7" style="1" width="10"/>
    <col collapsed="false" customWidth="true" hidden="false" outlineLevel="0" max="9" min="9" style="1" width="9"/>
  </cols>
  <sheetData>
    <row r="1" customFormat="false" ht="17.25" hidden="false" customHeight="true" outlineLevel="0" collapsed="false">
      <c r="A1" s="5" t="s">
        <v>82</v>
      </c>
    </row>
    <row r="2" customFormat="false" ht="15" hidden="false" customHeight="true" outlineLevel="0" collapsed="false">
      <c r="A2" s="6" t="s">
        <v>83</v>
      </c>
    </row>
    <row r="4" customFormat="false" ht="15" hidden="false" customHeight="true" outlineLevel="0" collapsed="false">
      <c r="A4" s="7" t="s">
        <v>84</v>
      </c>
      <c r="B4" s="7" t="s">
        <v>21</v>
      </c>
      <c r="C4" s="7" t="s">
        <v>22</v>
      </c>
      <c r="D4" s="7" t="s">
        <v>85</v>
      </c>
      <c r="E4" s="7" t="s">
        <v>86</v>
      </c>
      <c r="F4" s="7" t="s">
        <v>87</v>
      </c>
      <c r="G4" s="7" t="s">
        <v>88</v>
      </c>
      <c r="H4" s="7" t="s">
        <v>89</v>
      </c>
      <c r="I4" s="7" t="s">
        <v>90</v>
      </c>
    </row>
    <row r="5" customFormat="false" ht="15" hidden="false" customHeight="true" outlineLevel="0" collapsed="false">
      <c r="A5" s="18" t="n">
        <v>1</v>
      </c>
      <c r="B5" s="18" t="n">
        <v>16</v>
      </c>
      <c r="C5" s="18" t="s">
        <v>56</v>
      </c>
      <c r="D5" s="18" t="s">
        <v>91</v>
      </c>
      <c r="E5" s="18" t="n">
        <v>2070</v>
      </c>
      <c r="F5" s="18" t="n">
        <v>650</v>
      </c>
      <c r="G5" s="18" t="n">
        <v>5</v>
      </c>
      <c r="H5" s="18" t="n">
        <v>5</v>
      </c>
      <c r="I5" s="18"/>
    </row>
    <row r="6" customFormat="false" ht="15" hidden="false" customHeight="true" outlineLevel="0" collapsed="false">
      <c r="A6" s="18" t="n">
        <v>1</v>
      </c>
      <c r="B6" s="18" t="n">
        <v>1</v>
      </c>
      <c r="C6" s="18" t="s">
        <v>34</v>
      </c>
      <c r="D6" s="18" t="s">
        <v>92</v>
      </c>
      <c r="E6" s="18" t="n">
        <v>1990</v>
      </c>
      <c r="F6" s="18" t="n">
        <v>520</v>
      </c>
      <c r="G6" s="18" t="n">
        <v>659</v>
      </c>
      <c r="H6" s="18" t="n">
        <v>5</v>
      </c>
      <c r="I6" s="18"/>
    </row>
    <row r="7" customFormat="false" ht="15" hidden="false" customHeight="true" outlineLevel="0" collapsed="false">
      <c r="A7" s="18" t="n">
        <v>1</v>
      </c>
      <c r="B7" s="18" t="n">
        <v>5</v>
      </c>
      <c r="C7" s="18" t="s">
        <v>42</v>
      </c>
      <c r="D7" s="18" t="s">
        <v>92</v>
      </c>
      <c r="E7" s="18" t="n">
        <v>480.8</v>
      </c>
      <c r="F7" s="18" t="n">
        <v>430.8</v>
      </c>
      <c r="G7" s="18" t="n">
        <v>659</v>
      </c>
      <c r="H7" s="18" t="n">
        <v>1999</v>
      </c>
      <c r="I7" s="18" t="s">
        <v>93</v>
      </c>
    </row>
    <row r="8" customFormat="false" ht="15" hidden="false" customHeight="true" outlineLevel="0" collapsed="false">
      <c r="A8" s="18" t="n">
        <v>1</v>
      </c>
      <c r="B8" s="18" t="n">
        <v>56</v>
      </c>
      <c r="C8" s="18" t="s">
        <v>36</v>
      </c>
      <c r="D8" s="18" t="s">
        <v>94</v>
      </c>
      <c r="E8" s="18" t="n">
        <v>647</v>
      </c>
      <c r="F8" s="18" t="n">
        <v>297</v>
      </c>
      <c r="G8" s="18" t="n">
        <v>5</v>
      </c>
      <c r="H8" s="18" t="n">
        <v>2079</v>
      </c>
      <c r="I8" s="18" t="s">
        <v>93</v>
      </c>
    </row>
    <row r="9" customFormat="false" ht="15" hidden="false" customHeight="true" outlineLevel="0" collapsed="false">
      <c r="A9" s="18" t="n">
        <v>2</v>
      </c>
      <c r="B9" s="18" t="n">
        <v>17</v>
      </c>
      <c r="C9" s="18" t="s">
        <v>57</v>
      </c>
      <c r="D9" s="18" t="s">
        <v>91</v>
      </c>
      <c r="E9" s="18" t="n">
        <v>2070</v>
      </c>
      <c r="F9" s="18" t="n">
        <v>650</v>
      </c>
      <c r="G9" s="18" t="n">
        <v>5</v>
      </c>
      <c r="H9" s="18" t="n">
        <v>5</v>
      </c>
      <c r="I9" s="18"/>
    </row>
    <row r="10" customFormat="false" ht="15" hidden="false" customHeight="true" outlineLevel="0" collapsed="false">
      <c r="A10" s="18" t="n">
        <v>2</v>
      </c>
      <c r="B10" s="18" t="n">
        <v>2</v>
      </c>
      <c r="C10" s="18" t="s">
        <v>36</v>
      </c>
      <c r="D10" s="18" t="s">
        <v>92</v>
      </c>
      <c r="E10" s="18" t="n">
        <v>1962</v>
      </c>
      <c r="F10" s="18" t="n">
        <v>507</v>
      </c>
      <c r="G10" s="18" t="n">
        <v>659</v>
      </c>
      <c r="H10" s="18" t="n">
        <v>5</v>
      </c>
      <c r="I10" s="18"/>
    </row>
    <row r="11" customFormat="false" ht="15" hidden="false" customHeight="true" outlineLevel="0" collapsed="false">
      <c r="A11" s="18" t="n">
        <v>2</v>
      </c>
      <c r="B11" s="18" t="n">
        <v>21</v>
      </c>
      <c r="C11" s="18" t="s">
        <v>61</v>
      </c>
      <c r="D11" s="18" t="s">
        <v>91</v>
      </c>
      <c r="E11" s="18" t="n">
        <v>530.4</v>
      </c>
      <c r="F11" s="18" t="n">
        <v>450.4</v>
      </c>
      <c r="G11" s="18" t="n">
        <v>659</v>
      </c>
      <c r="H11" s="18" t="n">
        <v>1971</v>
      </c>
      <c r="I11" s="18" t="s">
        <v>93</v>
      </c>
    </row>
    <row r="12" customFormat="false" ht="15" hidden="false" customHeight="true" outlineLevel="0" collapsed="false">
      <c r="A12" s="18" t="n">
        <v>2</v>
      </c>
      <c r="B12" s="18" t="n">
        <v>56</v>
      </c>
      <c r="C12" s="18" t="s">
        <v>36</v>
      </c>
      <c r="D12" s="18" t="s">
        <v>94</v>
      </c>
      <c r="E12" s="18" t="n">
        <v>647</v>
      </c>
      <c r="F12" s="18" t="n">
        <v>297</v>
      </c>
      <c r="G12" s="18" t="n">
        <v>5</v>
      </c>
      <c r="H12" s="18" t="n">
        <v>2079</v>
      </c>
      <c r="I12" s="18" t="s">
        <v>93</v>
      </c>
    </row>
    <row r="13" customFormat="false" ht="15" hidden="false" customHeight="true" outlineLevel="0" collapsed="false">
      <c r="A13" s="18" t="n">
        <v>3</v>
      </c>
      <c r="B13" s="18" t="n">
        <v>3</v>
      </c>
      <c r="C13" s="18" t="s">
        <v>39</v>
      </c>
      <c r="D13" s="18" t="s">
        <v>92</v>
      </c>
      <c r="E13" s="18" t="n">
        <v>1990</v>
      </c>
      <c r="F13" s="18" t="n">
        <v>430.8</v>
      </c>
      <c r="G13" s="18" t="n">
        <v>5</v>
      </c>
      <c r="H13" s="18" t="n">
        <v>5</v>
      </c>
      <c r="I13" s="18"/>
    </row>
    <row r="14" customFormat="false" ht="15" hidden="false" customHeight="true" outlineLevel="0" collapsed="false">
      <c r="A14" s="18" t="n">
        <v>3</v>
      </c>
      <c r="B14" s="18" t="n">
        <v>4</v>
      </c>
      <c r="C14" s="18" t="s">
        <v>41</v>
      </c>
      <c r="D14" s="18" t="s">
        <v>92</v>
      </c>
      <c r="E14" s="18" t="n">
        <v>1990</v>
      </c>
      <c r="F14" s="18" t="n">
        <v>430.8</v>
      </c>
      <c r="G14" s="18" t="n">
        <v>439.8</v>
      </c>
      <c r="H14" s="18" t="n">
        <v>5</v>
      </c>
      <c r="I14" s="18"/>
    </row>
    <row r="15" customFormat="false" ht="15" hidden="false" customHeight="true" outlineLevel="0" collapsed="false">
      <c r="A15" s="18" t="n">
        <v>3</v>
      </c>
      <c r="B15" s="18" t="n">
        <v>40</v>
      </c>
      <c r="C15" s="18" t="s">
        <v>34</v>
      </c>
      <c r="D15" s="18" t="s">
        <v>95</v>
      </c>
      <c r="E15" s="18" t="n">
        <v>1990</v>
      </c>
      <c r="F15" s="18" t="n">
        <v>250</v>
      </c>
      <c r="G15" s="18" t="n">
        <v>874.6</v>
      </c>
      <c r="H15" s="18" t="n">
        <v>5</v>
      </c>
      <c r="I15" s="18"/>
    </row>
    <row r="16" customFormat="false" ht="15" hidden="false" customHeight="true" outlineLevel="0" collapsed="false">
      <c r="A16" s="18" t="n">
        <v>3</v>
      </c>
      <c r="B16" s="18" t="n">
        <v>65</v>
      </c>
      <c r="C16" s="18" t="s">
        <v>77</v>
      </c>
      <c r="D16" s="18" t="s">
        <v>96</v>
      </c>
      <c r="E16" s="18" t="n">
        <v>2380</v>
      </c>
      <c r="F16" s="18" t="n">
        <v>40</v>
      </c>
      <c r="G16" s="18" t="n">
        <v>1144.2</v>
      </c>
      <c r="H16" s="18" t="n">
        <v>5</v>
      </c>
      <c r="I16" s="18"/>
    </row>
    <row r="17" customFormat="false" ht="15" hidden="false" customHeight="true" outlineLevel="0" collapsed="false">
      <c r="A17" s="18" t="n">
        <v>3</v>
      </c>
      <c r="B17" s="18" t="n">
        <v>27</v>
      </c>
      <c r="C17" s="18" t="s">
        <v>39</v>
      </c>
      <c r="D17" s="18" t="s">
        <v>97</v>
      </c>
      <c r="E17" s="18" t="n">
        <v>650.4</v>
      </c>
      <c r="F17" s="18" t="n">
        <v>430.8</v>
      </c>
      <c r="G17" s="18" t="n">
        <v>5</v>
      </c>
      <c r="H17" s="18" t="n">
        <v>1999</v>
      </c>
      <c r="I17" s="18" t="s">
        <v>93</v>
      </c>
    </row>
    <row r="18" customFormat="false" ht="15" hidden="false" customHeight="true" outlineLevel="0" collapsed="false">
      <c r="A18" s="18" t="n">
        <v>3</v>
      </c>
      <c r="B18" s="18" t="n">
        <v>6</v>
      </c>
      <c r="C18" s="18" t="s">
        <v>43</v>
      </c>
      <c r="D18" s="18" t="s">
        <v>92</v>
      </c>
      <c r="E18" s="18" t="n">
        <v>480.8</v>
      </c>
      <c r="F18" s="18" t="n">
        <v>430.8</v>
      </c>
      <c r="G18" s="18" t="n">
        <v>659.4</v>
      </c>
      <c r="H18" s="18" t="n">
        <v>1999</v>
      </c>
      <c r="I18" s="18" t="s">
        <v>93</v>
      </c>
    </row>
    <row r="19" customFormat="false" ht="15" hidden="false" customHeight="true" outlineLevel="0" collapsed="false">
      <c r="A19" s="18" t="n">
        <v>4</v>
      </c>
      <c r="B19" s="18" t="n">
        <v>38</v>
      </c>
      <c r="C19" s="18" t="s">
        <v>39</v>
      </c>
      <c r="D19" s="18" t="s">
        <v>95</v>
      </c>
      <c r="E19" s="18" t="n">
        <v>1990</v>
      </c>
      <c r="F19" s="18" t="n">
        <v>430.8</v>
      </c>
      <c r="G19" s="18" t="n">
        <v>5</v>
      </c>
      <c r="H19" s="18" t="n">
        <v>5</v>
      </c>
      <c r="I19" s="18"/>
    </row>
    <row r="20" customFormat="false" ht="15" hidden="false" customHeight="true" outlineLevel="0" collapsed="false">
      <c r="A20" s="18" t="n">
        <v>4</v>
      </c>
      <c r="B20" s="18" t="n">
        <v>39</v>
      </c>
      <c r="C20" s="18" t="s">
        <v>41</v>
      </c>
      <c r="D20" s="18" t="s">
        <v>95</v>
      </c>
      <c r="E20" s="18" t="n">
        <v>1990</v>
      </c>
      <c r="F20" s="18" t="n">
        <v>430.8</v>
      </c>
      <c r="G20" s="18" t="n">
        <v>439.8</v>
      </c>
      <c r="H20" s="18" t="n">
        <v>5</v>
      </c>
      <c r="I20" s="18"/>
    </row>
    <row r="21" customFormat="false" ht="15" hidden="false" customHeight="true" outlineLevel="0" collapsed="false">
      <c r="A21" s="18" t="n">
        <v>4</v>
      </c>
      <c r="B21" s="18" t="n">
        <v>41</v>
      </c>
      <c r="C21" s="18" t="s">
        <v>36</v>
      </c>
      <c r="D21" s="18" t="s">
        <v>95</v>
      </c>
      <c r="E21" s="18" t="n">
        <v>1962</v>
      </c>
      <c r="F21" s="18" t="n">
        <v>237</v>
      </c>
      <c r="G21" s="18" t="n">
        <v>874.6</v>
      </c>
      <c r="H21" s="18" t="n">
        <v>5</v>
      </c>
      <c r="I21" s="18"/>
    </row>
    <row r="22" customFormat="false" ht="15" hidden="false" customHeight="true" outlineLevel="0" collapsed="false">
      <c r="A22" s="18" t="n">
        <v>4</v>
      </c>
      <c r="B22" s="18" t="n">
        <v>66</v>
      </c>
      <c r="C22" s="18" t="s">
        <v>79</v>
      </c>
      <c r="D22" s="18" t="s">
        <v>96</v>
      </c>
      <c r="E22" s="18" t="n">
        <v>2070</v>
      </c>
      <c r="F22" s="18" t="n">
        <v>40</v>
      </c>
      <c r="G22" s="18" t="n">
        <v>1144.2</v>
      </c>
      <c r="H22" s="18" t="n">
        <v>5</v>
      </c>
      <c r="I22" s="18"/>
    </row>
    <row r="23" customFormat="false" ht="15" hidden="false" customHeight="true" outlineLevel="0" collapsed="false">
      <c r="A23" s="18" t="n">
        <v>4</v>
      </c>
      <c r="B23" s="18" t="n">
        <v>28</v>
      </c>
      <c r="C23" s="18" t="s">
        <v>41</v>
      </c>
      <c r="D23" s="18" t="s">
        <v>97</v>
      </c>
      <c r="E23" s="18" t="n">
        <v>650.4</v>
      </c>
      <c r="F23" s="18" t="n">
        <v>430.8</v>
      </c>
      <c r="G23" s="18" t="n">
        <v>5</v>
      </c>
      <c r="H23" s="18" t="n">
        <v>1999</v>
      </c>
      <c r="I23" s="18" t="s">
        <v>93</v>
      </c>
    </row>
    <row r="24" customFormat="false" ht="15" hidden="false" customHeight="true" outlineLevel="0" collapsed="false">
      <c r="A24" s="18" t="n">
        <v>4</v>
      </c>
      <c r="B24" s="18" t="n">
        <v>47</v>
      </c>
      <c r="C24" s="18" t="s">
        <v>42</v>
      </c>
      <c r="D24" s="18" t="s">
        <v>98</v>
      </c>
      <c r="E24" s="18" t="n">
        <v>480.8</v>
      </c>
      <c r="F24" s="18" t="n">
        <v>430.8</v>
      </c>
      <c r="G24" s="18" t="n">
        <v>659.4</v>
      </c>
      <c r="H24" s="18" t="n">
        <v>1999</v>
      </c>
      <c r="I24" s="18" t="s">
        <v>93</v>
      </c>
    </row>
    <row r="25" customFormat="false" ht="15" hidden="false" customHeight="true" outlineLevel="0" collapsed="false">
      <c r="A25" s="18" t="n">
        <v>5</v>
      </c>
      <c r="B25" s="18" t="n">
        <v>18</v>
      </c>
      <c r="C25" s="18" t="s">
        <v>58</v>
      </c>
      <c r="D25" s="18" t="s">
        <v>91</v>
      </c>
      <c r="E25" s="18" t="n">
        <v>1300</v>
      </c>
      <c r="F25" s="18" t="n">
        <v>450.4</v>
      </c>
      <c r="G25" s="18" t="n">
        <v>5</v>
      </c>
      <c r="H25" s="18" t="n">
        <v>5</v>
      </c>
      <c r="I25" s="18"/>
    </row>
    <row r="26" customFormat="false" ht="15" hidden="false" customHeight="true" outlineLevel="0" collapsed="false">
      <c r="A26" s="18" t="n">
        <v>5</v>
      </c>
      <c r="B26" s="18" t="n">
        <v>19</v>
      </c>
      <c r="C26" s="18" t="s">
        <v>59</v>
      </c>
      <c r="D26" s="18" t="s">
        <v>91</v>
      </c>
      <c r="E26" s="18" t="n">
        <v>1300</v>
      </c>
      <c r="F26" s="18" t="n">
        <v>450.4</v>
      </c>
      <c r="G26" s="18" t="n">
        <v>459.4</v>
      </c>
      <c r="H26" s="18" t="n">
        <v>5</v>
      </c>
      <c r="I26" s="18"/>
    </row>
    <row r="27" customFormat="false" ht="15" hidden="false" customHeight="true" outlineLevel="0" collapsed="false">
      <c r="A27" s="18" t="n">
        <v>5</v>
      </c>
      <c r="B27" s="18" t="n">
        <v>55</v>
      </c>
      <c r="C27" s="18" t="s">
        <v>34</v>
      </c>
      <c r="D27" s="18" t="s">
        <v>94</v>
      </c>
      <c r="E27" s="18" t="n">
        <v>1300</v>
      </c>
      <c r="F27" s="18" t="n">
        <v>300</v>
      </c>
      <c r="G27" s="18" t="n">
        <v>913.8</v>
      </c>
      <c r="H27" s="18" t="n">
        <v>5</v>
      </c>
      <c r="I27" s="18"/>
    </row>
    <row r="28" customFormat="false" ht="15" hidden="false" customHeight="true" outlineLevel="0" collapsed="false">
      <c r="A28" s="18" t="n">
        <v>5</v>
      </c>
      <c r="B28" s="18" t="n">
        <v>20</v>
      </c>
      <c r="C28" s="18" t="s">
        <v>60</v>
      </c>
      <c r="D28" s="18" t="s">
        <v>91</v>
      </c>
      <c r="E28" s="18" t="n">
        <v>735.8</v>
      </c>
      <c r="F28" s="18" t="n">
        <v>360.8</v>
      </c>
      <c r="G28" s="18" t="n">
        <v>5</v>
      </c>
      <c r="H28" s="18" t="n">
        <v>1309</v>
      </c>
      <c r="I28" s="18"/>
    </row>
    <row r="29" customFormat="false" ht="15" hidden="false" customHeight="true" outlineLevel="0" collapsed="false">
      <c r="A29" s="18" t="n">
        <v>5</v>
      </c>
      <c r="B29" s="18" t="n">
        <v>48</v>
      </c>
      <c r="C29" s="18" t="s">
        <v>43</v>
      </c>
      <c r="D29" s="18" t="s">
        <v>98</v>
      </c>
      <c r="E29" s="18" t="n">
        <v>480.8</v>
      </c>
      <c r="F29" s="18" t="n">
        <v>430.8</v>
      </c>
      <c r="G29" s="18" t="n">
        <v>369.8</v>
      </c>
      <c r="H29" s="18" t="n">
        <v>1309</v>
      </c>
      <c r="I29" s="18" t="s">
        <v>93</v>
      </c>
    </row>
    <row r="30" customFormat="false" ht="15" hidden="false" customHeight="true" outlineLevel="0" collapsed="false">
      <c r="A30" s="18" t="n">
        <v>5</v>
      </c>
      <c r="B30" s="18" t="n">
        <v>49</v>
      </c>
      <c r="C30" s="18" t="s">
        <v>34</v>
      </c>
      <c r="D30" s="18" t="s">
        <v>98</v>
      </c>
      <c r="E30" s="18" t="n">
        <v>520</v>
      </c>
      <c r="F30" s="18" t="n">
        <v>300</v>
      </c>
      <c r="G30" s="18" t="n">
        <v>854.6</v>
      </c>
      <c r="H30" s="18" t="n">
        <v>1309</v>
      </c>
      <c r="I30" s="18"/>
    </row>
    <row r="31" customFormat="false" ht="15" hidden="false" customHeight="true" outlineLevel="0" collapsed="false">
      <c r="A31" s="18" t="n">
        <v>5</v>
      </c>
      <c r="B31" s="18" t="n">
        <v>29</v>
      </c>
      <c r="C31" s="18" t="s">
        <v>42</v>
      </c>
      <c r="D31" s="18" t="s">
        <v>97</v>
      </c>
      <c r="E31" s="18" t="n">
        <v>460.8</v>
      </c>
      <c r="F31" s="18" t="n">
        <v>430.8</v>
      </c>
      <c r="G31" s="18" t="n">
        <v>369.8</v>
      </c>
      <c r="H31" s="18" t="n">
        <v>1743.8</v>
      </c>
      <c r="I31" s="18"/>
    </row>
    <row r="32" customFormat="false" ht="15" hidden="false" customHeight="true" outlineLevel="0" collapsed="false">
      <c r="A32" s="18" t="n">
        <v>5</v>
      </c>
      <c r="B32" s="18" t="n">
        <v>50</v>
      </c>
      <c r="C32" s="18" t="s">
        <v>36</v>
      </c>
      <c r="D32" s="18" t="s">
        <v>98</v>
      </c>
      <c r="E32" s="18" t="n">
        <v>507</v>
      </c>
      <c r="F32" s="18" t="n">
        <v>297</v>
      </c>
      <c r="G32" s="18" t="n">
        <v>804.6</v>
      </c>
      <c r="H32" s="18" t="n">
        <v>1833</v>
      </c>
      <c r="I32" s="18"/>
    </row>
    <row r="33" customFormat="false" ht="15" hidden="false" customHeight="true" outlineLevel="0" collapsed="false">
      <c r="A33" s="18" t="n">
        <v>5</v>
      </c>
      <c r="B33" s="18" t="n">
        <v>15</v>
      </c>
      <c r="C33" s="18" t="s">
        <v>54</v>
      </c>
      <c r="D33" s="18" t="s">
        <v>92</v>
      </c>
      <c r="E33" s="18" t="n">
        <v>520</v>
      </c>
      <c r="F33" s="18" t="n">
        <v>80</v>
      </c>
      <c r="G33" s="18" t="n">
        <v>1105.6</v>
      </c>
      <c r="H33" s="18" t="n">
        <v>1833</v>
      </c>
      <c r="I33" s="18"/>
    </row>
    <row r="34" customFormat="false" ht="15" hidden="false" customHeight="true" outlineLevel="0" collapsed="false">
      <c r="A34" s="18" t="n">
        <v>5</v>
      </c>
      <c r="B34" s="18" t="n">
        <v>46</v>
      </c>
      <c r="C34" s="18" t="s">
        <v>54</v>
      </c>
      <c r="D34" s="18" t="s">
        <v>95</v>
      </c>
      <c r="E34" s="18" t="n">
        <v>250</v>
      </c>
      <c r="F34" s="18" t="n">
        <v>80</v>
      </c>
      <c r="G34" s="18" t="n">
        <v>5</v>
      </c>
      <c r="H34" s="18" t="n">
        <v>2048.8</v>
      </c>
      <c r="I34" s="18" t="s">
        <v>93</v>
      </c>
    </row>
    <row r="35" customFormat="false" ht="15" hidden="false" customHeight="true" outlineLevel="0" collapsed="false">
      <c r="A35" s="18" t="n">
        <v>5</v>
      </c>
      <c r="B35" s="18" t="n">
        <v>32</v>
      </c>
      <c r="C35" s="18" t="s">
        <v>47</v>
      </c>
      <c r="D35" s="18" t="s">
        <v>97</v>
      </c>
      <c r="E35" s="18" t="n">
        <v>497</v>
      </c>
      <c r="F35" s="18" t="n">
        <v>188.8</v>
      </c>
      <c r="G35" s="18" t="n">
        <v>5</v>
      </c>
      <c r="H35" s="18" t="n">
        <v>2208.6</v>
      </c>
      <c r="I35" s="18" t="s">
        <v>93</v>
      </c>
    </row>
    <row r="36" customFormat="false" ht="15" hidden="false" customHeight="true" outlineLevel="0" collapsed="false">
      <c r="A36" s="18" t="n">
        <v>5</v>
      </c>
      <c r="B36" s="18" t="n">
        <v>45</v>
      </c>
      <c r="C36" s="18" t="s">
        <v>53</v>
      </c>
      <c r="D36" s="18" t="s">
        <v>95</v>
      </c>
      <c r="E36" s="18" t="n">
        <v>250</v>
      </c>
      <c r="F36" s="18" t="n">
        <v>80</v>
      </c>
      <c r="G36" s="18" t="n">
        <v>506</v>
      </c>
      <c r="H36" s="18" t="n">
        <v>2208.6</v>
      </c>
      <c r="I36" s="18" t="s">
        <v>93</v>
      </c>
    </row>
    <row r="37" customFormat="false" ht="15" hidden="false" customHeight="true" outlineLevel="0" collapsed="false">
      <c r="A37" s="18" t="n">
        <v>5</v>
      </c>
      <c r="B37" s="18" t="n">
        <v>14</v>
      </c>
      <c r="C37" s="18" t="s">
        <v>53</v>
      </c>
      <c r="D37" s="18" t="s">
        <v>92</v>
      </c>
      <c r="E37" s="18" t="n">
        <v>520</v>
      </c>
      <c r="F37" s="18" t="n">
        <v>80</v>
      </c>
      <c r="G37" s="18" t="n">
        <v>506</v>
      </c>
      <c r="H37" s="18" t="n">
        <v>2344</v>
      </c>
      <c r="I37" s="18" t="s">
        <v>93</v>
      </c>
    </row>
    <row r="38" customFormat="false" ht="15" hidden="false" customHeight="true" outlineLevel="0" collapsed="false">
      <c r="A38" s="18" t="n">
        <v>6</v>
      </c>
      <c r="B38" s="18" t="n">
        <v>53</v>
      </c>
      <c r="C38" s="18" t="s">
        <v>42</v>
      </c>
      <c r="D38" s="18" t="s">
        <v>94</v>
      </c>
      <c r="E38" s="18" t="n">
        <v>1260.8</v>
      </c>
      <c r="F38" s="18" t="n">
        <v>430.8</v>
      </c>
      <c r="G38" s="18" t="n">
        <v>5</v>
      </c>
      <c r="H38" s="18" t="n">
        <v>5</v>
      </c>
      <c r="I38" s="18"/>
    </row>
    <row r="39" customFormat="false" ht="15" hidden="false" customHeight="true" outlineLevel="0" collapsed="false">
      <c r="A39" s="18" t="n">
        <v>6</v>
      </c>
      <c r="B39" s="18" t="n">
        <v>54</v>
      </c>
      <c r="C39" s="18" t="s">
        <v>43</v>
      </c>
      <c r="D39" s="18" t="s">
        <v>94</v>
      </c>
      <c r="E39" s="18" t="n">
        <v>1260.8</v>
      </c>
      <c r="F39" s="18" t="n">
        <v>430.8</v>
      </c>
      <c r="G39" s="18" t="n">
        <v>439.8</v>
      </c>
      <c r="H39" s="18" t="n">
        <v>5</v>
      </c>
      <c r="I39" s="18"/>
    </row>
    <row r="40" customFormat="false" ht="15" hidden="false" customHeight="true" outlineLevel="0" collapsed="false">
      <c r="A40" s="18" t="n">
        <v>6</v>
      </c>
      <c r="B40" s="18" t="n">
        <v>22</v>
      </c>
      <c r="C40" s="18" t="s">
        <v>62</v>
      </c>
      <c r="D40" s="18" t="s">
        <v>91</v>
      </c>
      <c r="E40" s="18" t="n">
        <v>480.4</v>
      </c>
      <c r="F40" s="18" t="n">
        <v>300</v>
      </c>
      <c r="G40" s="18" t="n">
        <v>874.6</v>
      </c>
      <c r="H40" s="18" t="n">
        <v>5</v>
      </c>
      <c r="I40" s="18"/>
    </row>
    <row r="41" customFormat="false" ht="15" hidden="false" customHeight="true" outlineLevel="0" collapsed="false">
      <c r="A41" s="18" t="n">
        <v>6</v>
      </c>
      <c r="B41" s="18" t="n">
        <v>22</v>
      </c>
      <c r="C41" s="18" t="s">
        <v>62</v>
      </c>
      <c r="D41" s="18" t="s">
        <v>91</v>
      </c>
      <c r="E41" s="18" t="n">
        <v>480.4</v>
      </c>
      <c r="F41" s="18" t="n">
        <v>300</v>
      </c>
      <c r="G41" s="18" t="n">
        <v>874.6</v>
      </c>
      <c r="H41" s="18" t="n">
        <v>489.4</v>
      </c>
      <c r="I41" s="18"/>
    </row>
    <row r="42" customFormat="false" ht="15" hidden="false" customHeight="true" outlineLevel="0" collapsed="false">
      <c r="A42" s="18" t="n">
        <v>6</v>
      </c>
      <c r="B42" s="18" t="n">
        <v>64</v>
      </c>
      <c r="C42" s="18" t="s">
        <v>36</v>
      </c>
      <c r="D42" s="18" t="s">
        <v>99</v>
      </c>
      <c r="E42" s="18" t="n">
        <v>297</v>
      </c>
      <c r="F42" s="18" t="n">
        <v>237</v>
      </c>
      <c r="G42" s="18" t="n">
        <v>874.6</v>
      </c>
      <c r="H42" s="18" t="n">
        <v>973.8</v>
      </c>
      <c r="I42" s="18" t="s">
        <v>93</v>
      </c>
    </row>
    <row r="43" customFormat="false" ht="15" hidden="false" customHeight="true" outlineLevel="0" collapsed="false">
      <c r="A43" s="18" t="n">
        <v>6</v>
      </c>
      <c r="B43" s="18" t="n">
        <v>30</v>
      </c>
      <c r="C43" s="18" t="s">
        <v>43</v>
      </c>
      <c r="D43" s="18" t="s">
        <v>97</v>
      </c>
      <c r="E43" s="18" t="n">
        <v>460.8</v>
      </c>
      <c r="F43" s="18" t="n">
        <v>430.8</v>
      </c>
      <c r="G43" s="18" t="n">
        <v>5</v>
      </c>
      <c r="H43" s="18" t="n">
        <v>1269.8</v>
      </c>
      <c r="I43" s="18"/>
    </row>
    <row r="44" customFormat="false" ht="15" hidden="false" customHeight="true" outlineLevel="0" collapsed="false">
      <c r="A44" s="18" t="n">
        <v>6</v>
      </c>
      <c r="B44" s="18" t="n">
        <v>31</v>
      </c>
      <c r="C44" s="18" t="s">
        <v>46</v>
      </c>
      <c r="D44" s="18" t="s">
        <v>97</v>
      </c>
      <c r="E44" s="18" t="n">
        <v>396.6</v>
      </c>
      <c r="F44" s="18" t="n">
        <v>360.8</v>
      </c>
      <c r="G44" s="18" t="n">
        <v>439.8</v>
      </c>
      <c r="H44" s="18" t="n">
        <v>1269.8</v>
      </c>
      <c r="I44" s="18"/>
    </row>
    <row r="45" customFormat="false" ht="15" hidden="false" customHeight="true" outlineLevel="0" collapsed="false">
      <c r="A45" s="18" t="n">
        <v>6</v>
      </c>
      <c r="B45" s="18" t="n">
        <v>9</v>
      </c>
      <c r="C45" s="18" t="s">
        <v>46</v>
      </c>
      <c r="D45" s="18" t="s">
        <v>92</v>
      </c>
      <c r="E45" s="18" t="n">
        <v>416.6</v>
      </c>
      <c r="F45" s="18" t="n">
        <v>360.8</v>
      </c>
      <c r="G45" s="18" t="n">
        <v>834.6</v>
      </c>
      <c r="H45" s="18" t="n">
        <v>1269.8</v>
      </c>
      <c r="I45" s="18"/>
    </row>
    <row r="46" customFormat="false" ht="15" hidden="false" customHeight="true" outlineLevel="0" collapsed="false">
      <c r="A46" s="18" t="n">
        <v>6</v>
      </c>
      <c r="B46" s="18" t="n">
        <v>9</v>
      </c>
      <c r="C46" s="18" t="s">
        <v>46</v>
      </c>
      <c r="D46" s="18" t="s">
        <v>92</v>
      </c>
      <c r="E46" s="18" t="n">
        <v>416.6</v>
      </c>
      <c r="F46" s="18" t="n">
        <v>360.8</v>
      </c>
      <c r="G46" s="18" t="n">
        <v>834.6</v>
      </c>
      <c r="H46" s="18" t="n">
        <v>1690.4</v>
      </c>
      <c r="I46" s="18"/>
    </row>
    <row r="47" customFormat="false" ht="15" hidden="false" customHeight="true" outlineLevel="0" collapsed="false">
      <c r="A47" s="18" t="n">
        <v>6</v>
      </c>
      <c r="B47" s="18" t="n">
        <v>7</v>
      </c>
      <c r="C47" s="18" t="s">
        <v>44</v>
      </c>
      <c r="D47" s="18" t="s">
        <v>92</v>
      </c>
      <c r="E47" s="18" t="n">
        <v>480.8</v>
      </c>
      <c r="F47" s="18" t="n">
        <v>410.8</v>
      </c>
      <c r="G47" s="18" t="n">
        <v>5</v>
      </c>
      <c r="H47" s="18" t="n">
        <v>1734.6</v>
      </c>
      <c r="I47" s="18"/>
    </row>
    <row r="48" customFormat="false" ht="15" hidden="false" customHeight="true" outlineLevel="0" collapsed="false">
      <c r="A48" s="18" t="n">
        <v>6</v>
      </c>
      <c r="B48" s="18" t="n">
        <v>8</v>
      </c>
      <c r="C48" s="18" t="s">
        <v>45</v>
      </c>
      <c r="D48" s="18" t="s">
        <v>92</v>
      </c>
      <c r="E48" s="18" t="n">
        <v>480.8</v>
      </c>
      <c r="F48" s="18" t="n">
        <v>410.8</v>
      </c>
      <c r="G48" s="18" t="n">
        <v>419.8</v>
      </c>
      <c r="H48" s="18" t="n">
        <v>1734.6</v>
      </c>
      <c r="I48" s="18"/>
    </row>
    <row r="49" customFormat="false" ht="15" hidden="false" customHeight="true" outlineLevel="0" collapsed="false">
      <c r="A49" s="18" t="n">
        <v>6</v>
      </c>
      <c r="B49" s="18" t="n">
        <v>63</v>
      </c>
      <c r="C49" s="18" t="s">
        <v>34</v>
      </c>
      <c r="D49" s="18" t="s">
        <v>99</v>
      </c>
      <c r="E49" s="18" t="n">
        <v>300</v>
      </c>
      <c r="F49" s="18" t="n">
        <v>250</v>
      </c>
      <c r="G49" s="18" t="n">
        <v>834.6</v>
      </c>
      <c r="H49" s="18" t="n">
        <v>2111</v>
      </c>
      <c r="I49" s="18"/>
    </row>
    <row r="50" customFormat="false" ht="15" hidden="false" customHeight="true" outlineLevel="0" collapsed="false">
      <c r="A50" s="18" t="n">
        <v>6</v>
      </c>
      <c r="B50" s="18" t="n">
        <v>23</v>
      </c>
      <c r="C50" s="18" t="s">
        <v>63</v>
      </c>
      <c r="D50" s="18" t="s">
        <v>91</v>
      </c>
      <c r="E50" s="18" t="n">
        <v>796</v>
      </c>
      <c r="F50" s="18" t="n">
        <v>120</v>
      </c>
      <c r="G50" s="18" t="n">
        <v>5</v>
      </c>
      <c r="H50" s="18" t="n">
        <v>2219.4</v>
      </c>
      <c r="I50" s="18" t="s">
        <v>93</v>
      </c>
    </row>
    <row r="51" customFormat="false" ht="15" hidden="false" customHeight="true" outlineLevel="0" collapsed="false">
      <c r="A51" s="18" t="n">
        <v>6</v>
      </c>
      <c r="B51" s="18" t="n">
        <v>24</v>
      </c>
      <c r="C51" s="18" t="s">
        <v>65</v>
      </c>
      <c r="D51" s="18" t="s">
        <v>91</v>
      </c>
      <c r="E51" s="18" t="n">
        <v>735.8</v>
      </c>
      <c r="F51" s="18" t="n">
        <v>90</v>
      </c>
      <c r="G51" s="18" t="n">
        <v>5</v>
      </c>
      <c r="H51" s="18" t="n">
        <v>2343.4</v>
      </c>
      <c r="I51" s="18" t="s">
        <v>93</v>
      </c>
    </row>
    <row r="52" customFormat="false" ht="15" hidden="false" customHeight="true" outlineLevel="0" collapsed="false">
      <c r="A52" s="18" t="n">
        <v>7</v>
      </c>
      <c r="B52" s="18" t="n">
        <v>31</v>
      </c>
      <c r="C52" s="18" t="s">
        <v>46</v>
      </c>
      <c r="D52" s="18" t="s">
        <v>97</v>
      </c>
      <c r="E52" s="18" t="n">
        <v>396.6</v>
      </c>
      <c r="F52" s="18" t="n">
        <v>360.8</v>
      </c>
      <c r="G52" s="18" t="n">
        <v>5</v>
      </c>
      <c r="H52" s="18" t="n">
        <v>5</v>
      </c>
      <c r="I52" s="18" t="s">
        <v>93</v>
      </c>
    </row>
    <row r="53" customFormat="false" ht="15" hidden="false" customHeight="true" outlineLevel="0" collapsed="false">
      <c r="A53" s="18" t="n">
        <v>7</v>
      </c>
      <c r="B53" s="18" t="n">
        <v>31</v>
      </c>
      <c r="C53" s="18" t="s">
        <v>46</v>
      </c>
      <c r="D53" s="18" t="s">
        <v>97</v>
      </c>
      <c r="E53" s="18" t="n">
        <v>396.6</v>
      </c>
      <c r="F53" s="18" t="n">
        <v>360.8</v>
      </c>
      <c r="G53" s="18" t="n">
        <v>405.6</v>
      </c>
      <c r="H53" s="18" t="n">
        <v>5</v>
      </c>
      <c r="I53" s="18" t="s">
        <v>93</v>
      </c>
    </row>
    <row r="54" customFormat="false" ht="15" hidden="false" customHeight="true" outlineLevel="0" collapsed="false">
      <c r="A54" s="18" t="n">
        <v>7</v>
      </c>
      <c r="B54" s="18" t="n">
        <v>51</v>
      </c>
      <c r="C54" s="18" t="s">
        <v>39</v>
      </c>
      <c r="D54" s="18" t="s">
        <v>98</v>
      </c>
      <c r="E54" s="18" t="n">
        <v>430.8</v>
      </c>
      <c r="F54" s="18" t="n">
        <v>300</v>
      </c>
      <c r="G54" s="18" t="n">
        <v>806.2</v>
      </c>
      <c r="H54" s="18" t="n">
        <v>5</v>
      </c>
      <c r="I54" s="18"/>
    </row>
    <row r="55" customFormat="false" ht="15" hidden="false" customHeight="true" outlineLevel="0" collapsed="false">
      <c r="A55" s="18" t="n">
        <v>7</v>
      </c>
      <c r="B55" s="18" t="n">
        <v>25</v>
      </c>
      <c r="C55" s="18" t="s">
        <v>66</v>
      </c>
      <c r="D55" s="18" t="s">
        <v>91</v>
      </c>
      <c r="E55" s="18" t="n">
        <v>380.4</v>
      </c>
      <c r="F55" s="18" t="n">
        <v>90</v>
      </c>
      <c r="G55" s="18" t="n">
        <v>1110.2</v>
      </c>
      <c r="H55" s="18" t="n">
        <v>5</v>
      </c>
      <c r="I55" s="18"/>
    </row>
    <row r="56" customFormat="false" ht="15" hidden="false" customHeight="true" outlineLevel="0" collapsed="false">
      <c r="A56" s="18" t="n">
        <v>7</v>
      </c>
      <c r="B56" s="18" t="n">
        <v>52</v>
      </c>
      <c r="C56" s="18" t="s">
        <v>41</v>
      </c>
      <c r="D56" s="18" t="s">
        <v>98</v>
      </c>
      <c r="E56" s="18" t="n">
        <v>430.8</v>
      </c>
      <c r="F56" s="18" t="n">
        <v>300</v>
      </c>
      <c r="G56" s="18" t="n">
        <v>5</v>
      </c>
      <c r="H56" s="18" t="n">
        <v>369.8</v>
      </c>
      <c r="I56" s="18" t="s">
        <v>93</v>
      </c>
    </row>
    <row r="57" customFormat="false" ht="15" hidden="false" customHeight="true" outlineLevel="0" collapsed="false">
      <c r="A57" s="18" t="n">
        <v>7</v>
      </c>
      <c r="B57" s="18" t="n">
        <v>57</v>
      </c>
      <c r="C57" s="18" t="s">
        <v>39</v>
      </c>
      <c r="D57" s="18" t="s">
        <v>94</v>
      </c>
      <c r="E57" s="18" t="n">
        <v>430.8</v>
      </c>
      <c r="F57" s="18" t="n">
        <v>300</v>
      </c>
      <c r="G57" s="18" t="n">
        <v>439.8</v>
      </c>
      <c r="H57" s="18" t="n">
        <v>369.8</v>
      </c>
      <c r="I57" s="18"/>
    </row>
    <row r="58" customFormat="false" ht="15" hidden="false" customHeight="true" outlineLevel="0" collapsed="false">
      <c r="A58" s="18" t="n">
        <v>7</v>
      </c>
      <c r="B58" s="18" t="n">
        <v>59</v>
      </c>
      <c r="C58" s="18" t="s">
        <v>39</v>
      </c>
      <c r="D58" s="18" t="s">
        <v>99</v>
      </c>
      <c r="E58" s="18" t="n">
        <v>430.8</v>
      </c>
      <c r="F58" s="18" t="n">
        <v>300</v>
      </c>
      <c r="G58" s="18" t="n">
        <v>743.8</v>
      </c>
      <c r="H58" s="18" t="n">
        <v>439.8</v>
      </c>
      <c r="I58" s="18" t="s">
        <v>93</v>
      </c>
    </row>
    <row r="59" customFormat="false" ht="15" hidden="false" customHeight="true" outlineLevel="0" collapsed="false">
      <c r="A59" s="18" t="n">
        <v>7</v>
      </c>
      <c r="B59" s="18" t="n">
        <v>58</v>
      </c>
      <c r="C59" s="18" t="s">
        <v>41</v>
      </c>
      <c r="D59" s="18" t="s">
        <v>94</v>
      </c>
      <c r="E59" s="18" t="n">
        <v>430.8</v>
      </c>
      <c r="F59" s="18" t="n">
        <v>300</v>
      </c>
      <c r="G59" s="18" t="n">
        <v>5</v>
      </c>
      <c r="H59" s="18" t="n">
        <v>673.8</v>
      </c>
      <c r="I59" s="18" t="s">
        <v>93</v>
      </c>
    </row>
    <row r="60" customFormat="false" ht="15" hidden="false" customHeight="true" outlineLevel="0" collapsed="false">
      <c r="A60" s="18" t="n">
        <v>7</v>
      </c>
      <c r="B60" s="18" t="n">
        <v>60</v>
      </c>
      <c r="C60" s="18" t="s">
        <v>41</v>
      </c>
      <c r="D60" s="18" t="s">
        <v>99</v>
      </c>
      <c r="E60" s="18" t="n">
        <v>430.8</v>
      </c>
      <c r="F60" s="18" t="n">
        <v>300</v>
      </c>
      <c r="G60" s="18" t="n">
        <v>743.8</v>
      </c>
      <c r="H60" s="18" t="n">
        <v>743.8</v>
      </c>
      <c r="I60" s="18" t="s">
        <v>93</v>
      </c>
    </row>
    <row r="61" customFormat="false" ht="15" hidden="false" customHeight="true" outlineLevel="0" collapsed="false">
      <c r="A61" s="18" t="n">
        <v>7</v>
      </c>
      <c r="B61" s="18" t="n">
        <v>32</v>
      </c>
      <c r="C61" s="18" t="s">
        <v>47</v>
      </c>
      <c r="D61" s="18" t="s">
        <v>97</v>
      </c>
      <c r="E61" s="18" t="n">
        <v>497</v>
      </c>
      <c r="F61" s="18" t="n">
        <v>188.8</v>
      </c>
      <c r="G61" s="18" t="n">
        <v>439.8</v>
      </c>
      <c r="H61" s="18" t="n">
        <v>804.6</v>
      </c>
      <c r="I61" s="18"/>
    </row>
    <row r="62" customFormat="false" ht="15" hidden="false" customHeight="true" outlineLevel="0" collapsed="false">
      <c r="A62" s="18" t="n">
        <v>7</v>
      </c>
      <c r="B62" s="18" t="n">
        <v>42</v>
      </c>
      <c r="C62" s="18" t="s">
        <v>42</v>
      </c>
      <c r="D62" s="18" t="s">
        <v>95</v>
      </c>
      <c r="E62" s="18" t="n">
        <v>430.8</v>
      </c>
      <c r="F62" s="18" t="n">
        <v>210.8</v>
      </c>
      <c r="G62" s="18" t="n">
        <v>5</v>
      </c>
      <c r="H62" s="18" t="n">
        <v>977.8</v>
      </c>
      <c r="I62" s="18" t="s">
        <v>93</v>
      </c>
    </row>
    <row r="63" customFormat="false" ht="15" hidden="false" customHeight="true" outlineLevel="0" collapsed="false">
      <c r="A63" s="18" t="n">
        <v>7</v>
      </c>
      <c r="B63" s="18" t="n">
        <v>32</v>
      </c>
      <c r="C63" s="18" t="s">
        <v>47</v>
      </c>
      <c r="D63" s="18" t="s">
        <v>97</v>
      </c>
      <c r="E63" s="18" t="n">
        <v>497</v>
      </c>
      <c r="F63" s="18" t="n">
        <v>188.8</v>
      </c>
      <c r="G63" s="18" t="n">
        <v>632.6</v>
      </c>
      <c r="H63" s="18" t="n">
        <v>1047.8</v>
      </c>
      <c r="I63" s="18" t="s">
        <v>93</v>
      </c>
    </row>
    <row r="64" customFormat="false" ht="15" hidden="false" customHeight="true" outlineLevel="0" collapsed="false">
      <c r="A64" s="18" t="n">
        <v>7</v>
      </c>
      <c r="B64" s="18" t="n">
        <v>43</v>
      </c>
      <c r="C64" s="18" t="s">
        <v>43</v>
      </c>
      <c r="D64" s="18" t="s">
        <v>95</v>
      </c>
      <c r="E64" s="18" t="n">
        <v>430.8</v>
      </c>
      <c r="F64" s="18" t="n">
        <v>210.8</v>
      </c>
      <c r="G64" s="18" t="n">
        <v>5</v>
      </c>
      <c r="H64" s="18" t="n">
        <v>1192.6</v>
      </c>
      <c r="I64" s="18" t="s">
        <v>93</v>
      </c>
    </row>
    <row r="65" customFormat="false" ht="15" hidden="false" customHeight="true" outlineLevel="0" collapsed="false">
      <c r="A65" s="18" t="n">
        <v>7</v>
      </c>
      <c r="B65" s="18" t="n">
        <v>61</v>
      </c>
      <c r="C65" s="18" t="s">
        <v>42</v>
      </c>
      <c r="D65" s="18" t="s">
        <v>99</v>
      </c>
      <c r="E65" s="18" t="n">
        <v>430.8</v>
      </c>
      <c r="F65" s="18" t="n">
        <v>210.8</v>
      </c>
      <c r="G65" s="18" t="n">
        <v>632.6</v>
      </c>
      <c r="H65" s="18" t="n">
        <v>1240.6</v>
      </c>
      <c r="I65" s="18" t="s">
        <v>93</v>
      </c>
    </row>
    <row r="66" customFormat="false" ht="15" hidden="false" customHeight="true" outlineLevel="0" collapsed="false">
      <c r="A66" s="18" t="n">
        <v>7</v>
      </c>
      <c r="B66" s="18" t="n">
        <v>11</v>
      </c>
      <c r="C66" s="18" t="s">
        <v>49</v>
      </c>
      <c r="D66" s="18" t="s">
        <v>92</v>
      </c>
      <c r="E66" s="18" t="n">
        <v>416.6</v>
      </c>
      <c r="F66" s="18" t="n">
        <v>130</v>
      </c>
      <c r="G66" s="18" t="n">
        <v>1069.4</v>
      </c>
      <c r="H66" s="18" t="n">
        <v>1240.6</v>
      </c>
      <c r="I66" s="18"/>
    </row>
    <row r="67" customFormat="false" ht="15" hidden="false" customHeight="true" outlineLevel="0" collapsed="false">
      <c r="A67" s="18" t="n">
        <v>7</v>
      </c>
      <c r="B67" s="18" t="n">
        <v>62</v>
      </c>
      <c r="C67" s="18" t="s">
        <v>43</v>
      </c>
      <c r="D67" s="18" t="s">
        <v>99</v>
      </c>
      <c r="E67" s="18" t="n">
        <v>430.8</v>
      </c>
      <c r="F67" s="18" t="n">
        <v>210.8</v>
      </c>
      <c r="G67" s="18" t="n">
        <v>5</v>
      </c>
      <c r="H67" s="18" t="n">
        <v>1407.4</v>
      </c>
      <c r="I67" s="18" t="s">
        <v>93</v>
      </c>
    </row>
    <row r="68" customFormat="false" ht="15" hidden="false" customHeight="true" outlineLevel="0" collapsed="false">
      <c r="A68" s="18" t="n">
        <v>7</v>
      </c>
      <c r="B68" s="18" t="n">
        <v>44</v>
      </c>
      <c r="C68" s="18" t="s">
        <v>72</v>
      </c>
      <c r="D68" s="18" t="s">
        <v>95</v>
      </c>
      <c r="E68" s="18" t="n">
        <v>410.8</v>
      </c>
      <c r="F68" s="18" t="n">
        <v>210.8</v>
      </c>
      <c r="G68" s="18" t="n">
        <v>439.8</v>
      </c>
      <c r="H68" s="18" t="n">
        <v>1455.4</v>
      </c>
      <c r="I68" s="18" t="s">
        <v>93</v>
      </c>
    </row>
    <row r="69" customFormat="false" ht="15" hidden="false" customHeight="true" outlineLevel="0" collapsed="false">
      <c r="A69" s="18" t="n">
        <v>7</v>
      </c>
      <c r="B69" s="18" t="n">
        <v>44</v>
      </c>
      <c r="C69" s="18" t="s">
        <v>72</v>
      </c>
      <c r="D69" s="18" t="s">
        <v>95</v>
      </c>
      <c r="E69" s="18" t="n">
        <v>410.8</v>
      </c>
      <c r="F69" s="18" t="n">
        <v>210.8</v>
      </c>
      <c r="G69" s="18" t="n">
        <v>854.6</v>
      </c>
      <c r="H69" s="18" t="n">
        <v>1455.4</v>
      </c>
      <c r="I69" s="18"/>
    </row>
    <row r="70" customFormat="false" ht="15" hidden="false" customHeight="true" outlineLevel="0" collapsed="false">
      <c r="A70" s="18" t="n">
        <v>7</v>
      </c>
      <c r="B70" s="18" t="n">
        <v>44</v>
      </c>
      <c r="C70" s="18" t="s">
        <v>72</v>
      </c>
      <c r="D70" s="18" t="s">
        <v>95</v>
      </c>
      <c r="E70" s="18" t="n">
        <v>410.8</v>
      </c>
      <c r="F70" s="18" t="n">
        <v>210.8</v>
      </c>
      <c r="G70" s="18" t="n">
        <v>5</v>
      </c>
      <c r="H70" s="18" t="n">
        <v>1622.2</v>
      </c>
      <c r="I70" s="18" t="s">
        <v>93</v>
      </c>
    </row>
    <row r="71" customFormat="false" ht="15" hidden="false" customHeight="true" outlineLevel="0" collapsed="false">
      <c r="A71" s="18" t="n">
        <v>7</v>
      </c>
      <c r="B71" s="18" t="n">
        <v>44</v>
      </c>
      <c r="C71" s="18" t="s">
        <v>72</v>
      </c>
      <c r="D71" s="18" t="s">
        <v>95</v>
      </c>
      <c r="E71" s="18" t="n">
        <v>410.8</v>
      </c>
      <c r="F71" s="18" t="n">
        <v>210.8</v>
      </c>
      <c r="G71" s="18" t="n">
        <v>419.8</v>
      </c>
      <c r="H71" s="18" t="n">
        <v>1670.2</v>
      </c>
      <c r="I71" s="18" t="s">
        <v>93</v>
      </c>
    </row>
    <row r="72" customFormat="false" ht="15" hidden="false" customHeight="true" outlineLevel="0" collapsed="false">
      <c r="A72" s="18" t="n">
        <v>7</v>
      </c>
      <c r="B72" s="18" t="n">
        <v>44</v>
      </c>
      <c r="C72" s="18" t="s">
        <v>72</v>
      </c>
      <c r="D72" s="18" t="s">
        <v>95</v>
      </c>
      <c r="E72" s="18" t="n">
        <v>410.8</v>
      </c>
      <c r="F72" s="18" t="n">
        <v>210.8</v>
      </c>
      <c r="G72" s="18" t="n">
        <v>5</v>
      </c>
      <c r="H72" s="18" t="n">
        <v>1837</v>
      </c>
      <c r="I72" s="18" t="s">
        <v>93</v>
      </c>
    </row>
    <row r="73" customFormat="false" ht="15" hidden="false" customHeight="true" outlineLevel="0" collapsed="false">
      <c r="A73" s="18" t="n">
        <v>7</v>
      </c>
      <c r="B73" s="18" t="n">
        <v>10</v>
      </c>
      <c r="C73" s="18" t="s">
        <v>47</v>
      </c>
      <c r="D73" s="18" t="s">
        <v>92</v>
      </c>
      <c r="E73" s="18" t="n">
        <v>476.8</v>
      </c>
      <c r="F73" s="18" t="n">
        <v>160</v>
      </c>
      <c r="G73" s="18" t="n">
        <v>419.8</v>
      </c>
      <c r="H73" s="18" t="n">
        <v>1885</v>
      </c>
      <c r="I73" s="18"/>
    </row>
    <row r="74" customFormat="false" ht="15" hidden="false" customHeight="true" outlineLevel="0" collapsed="false">
      <c r="A74" s="18" t="n">
        <v>7</v>
      </c>
      <c r="B74" s="18" t="n">
        <v>10</v>
      </c>
      <c r="C74" s="18" t="s">
        <v>47</v>
      </c>
      <c r="D74" s="18" t="s">
        <v>92</v>
      </c>
      <c r="E74" s="18" t="n">
        <v>476.8</v>
      </c>
      <c r="F74" s="18" t="n">
        <v>160</v>
      </c>
      <c r="G74" s="18" t="n">
        <v>583.8</v>
      </c>
      <c r="H74" s="18" t="n">
        <v>1885</v>
      </c>
      <c r="I74" s="18"/>
    </row>
    <row r="75" customFormat="false" ht="15" hidden="false" customHeight="true" outlineLevel="0" collapsed="false">
      <c r="A75" s="18" t="n">
        <v>7</v>
      </c>
      <c r="B75" s="18" t="n">
        <v>33</v>
      </c>
      <c r="C75" s="18" t="s">
        <v>49</v>
      </c>
      <c r="D75" s="18" t="s">
        <v>97</v>
      </c>
      <c r="E75" s="18" t="n">
        <v>396.6</v>
      </c>
      <c r="F75" s="18" t="n">
        <v>173.7</v>
      </c>
      <c r="G75" s="18" t="n">
        <v>747.8</v>
      </c>
      <c r="H75" s="18" t="n">
        <v>1885</v>
      </c>
      <c r="I75" s="18" t="s">
        <v>93</v>
      </c>
    </row>
    <row r="76" customFormat="false" ht="15" hidden="false" customHeight="true" outlineLevel="0" collapsed="false">
      <c r="A76" s="18" t="n">
        <v>7</v>
      </c>
      <c r="B76" s="18" t="n">
        <v>33</v>
      </c>
      <c r="C76" s="18" t="s">
        <v>49</v>
      </c>
      <c r="D76" s="18" t="s">
        <v>97</v>
      </c>
      <c r="E76" s="18" t="n">
        <v>396.6</v>
      </c>
      <c r="F76" s="18" t="n">
        <v>173.7</v>
      </c>
      <c r="G76" s="18" t="n">
        <v>5</v>
      </c>
      <c r="H76" s="18" t="n">
        <v>2051.8</v>
      </c>
      <c r="I76" s="18" t="s">
        <v>93</v>
      </c>
    </row>
    <row r="77" customFormat="false" ht="15" hidden="false" customHeight="true" outlineLevel="0" collapsed="false">
      <c r="A77" s="18" t="n">
        <v>7</v>
      </c>
      <c r="B77" s="18" t="n">
        <v>34</v>
      </c>
      <c r="C77" s="18" t="s">
        <v>51</v>
      </c>
      <c r="D77" s="18" t="s">
        <v>97</v>
      </c>
      <c r="E77" s="18" t="n">
        <v>380.4</v>
      </c>
      <c r="F77" s="18" t="n">
        <v>173.7</v>
      </c>
      <c r="G77" s="18" t="n">
        <v>747.8</v>
      </c>
      <c r="H77" s="18" t="n">
        <v>2062.7</v>
      </c>
      <c r="I77" s="18" t="s">
        <v>93</v>
      </c>
    </row>
    <row r="78" customFormat="false" ht="15" hidden="false" customHeight="true" outlineLevel="0" collapsed="false">
      <c r="A78" s="18" t="n">
        <v>7</v>
      </c>
      <c r="B78" s="18" t="n">
        <v>33</v>
      </c>
      <c r="C78" s="18" t="s">
        <v>49</v>
      </c>
      <c r="D78" s="18" t="s">
        <v>97</v>
      </c>
      <c r="E78" s="18" t="n">
        <v>396.6</v>
      </c>
      <c r="F78" s="18" t="n">
        <v>173.7</v>
      </c>
      <c r="G78" s="18" t="n">
        <v>5</v>
      </c>
      <c r="H78" s="18" t="n">
        <v>2229.5</v>
      </c>
      <c r="I78" s="18" t="s">
        <v>93</v>
      </c>
    </row>
    <row r="79" customFormat="false" ht="15" hidden="false" customHeight="true" outlineLevel="0" collapsed="false">
      <c r="A79" s="18" t="n">
        <v>7</v>
      </c>
      <c r="B79" s="18" t="n">
        <v>34</v>
      </c>
      <c r="C79" s="18" t="s">
        <v>51</v>
      </c>
      <c r="D79" s="18" t="s">
        <v>97</v>
      </c>
      <c r="E79" s="18" t="n">
        <v>380.4</v>
      </c>
      <c r="F79" s="18" t="n">
        <v>173.7</v>
      </c>
      <c r="G79" s="18" t="n">
        <v>747.8</v>
      </c>
      <c r="H79" s="18" t="n">
        <v>2240.4</v>
      </c>
      <c r="I79" s="18" t="s">
        <v>93</v>
      </c>
    </row>
    <row r="80" customFormat="false" ht="15" hidden="false" customHeight="true" outlineLevel="0" collapsed="false">
      <c r="A80" s="18" t="n">
        <v>8</v>
      </c>
      <c r="B80" s="18" t="n">
        <v>34</v>
      </c>
      <c r="C80" s="18" t="s">
        <v>51</v>
      </c>
      <c r="D80" s="18" t="s">
        <v>97</v>
      </c>
      <c r="E80" s="18" t="n">
        <v>380.4</v>
      </c>
      <c r="F80" s="18" t="n">
        <v>173.7</v>
      </c>
      <c r="G80" s="18" t="n">
        <v>5</v>
      </c>
      <c r="H80" s="18" t="n">
        <v>5</v>
      </c>
      <c r="I80" s="18" t="s">
        <v>93</v>
      </c>
    </row>
    <row r="81" customFormat="false" ht="15" hidden="false" customHeight="true" outlineLevel="0" collapsed="false">
      <c r="A81" s="18" t="n">
        <v>8</v>
      </c>
      <c r="B81" s="18" t="n">
        <v>35</v>
      </c>
      <c r="C81" s="18" t="s">
        <v>52</v>
      </c>
      <c r="D81" s="18" t="s">
        <v>97</v>
      </c>
      <c r="E81" s="18" t="n">
        <v>380.4</v>
      </c>
      <c r="F81" s="18" t="n">
        <v>173.7</v>
      </c>
      <c r="G81" s="18" t="n">
        <v>389.4</v>
      </c>
      <c r="H81" s="18" t="n">
        <v>5</v>
      </c>
      <c r="I81" s="18" t="s">
        <v>93</v>
      </c>
    </row>
    <row r="82" customFormat="false" ht="15" hidden="false" customHeight="true" outlineLevel="0" collapsed="false">
      <c r="A82" s="18" t="n">
        <v>8</v>
      </c>
      <c r="B82" s="18" t="n">
        <v>35</v>
      </c>
      <c r="C82" s="18" t="s">
        <v>52</v>
      </c>
      <c r="D82" s="18" t="s">
        <v>97</v>
      </c>
      <c r="E82" s="18" t="n">
        <v>380.4</v>
      </c>
      <c r="F82" s="18" t="n">
        <v>173.7</v>
      </c>
      <c r="G82" s="18" t="n">
        <v>773.8</v>
      </c>
      <c r="H82" s="18" t="n">
        <v>5</v>
      </c>
      <c r="I82" s="18" t="s">
        <v>93</v>
      </c>
    </row>
    <row r="83" customFormat="false" ht="15" hidden="false" customHeight="true" outlineLevel="0" collapsed="false">
      <c r="A83" s="18" t="n">
        <v>8</v>
      </c>
      <c r="B83" s="18" t="n">
        <v>35</v>
      </c>
      <c r="C83" s="18" t="s">
        <v>52</v>
      </c>
      <c r="D83" s="18" t="s">
        <v>97</v>
      </c>
      <c r="E83" s="18" t="n">
        <v>380.4</v>
      </c>
      <c r="F83" s="18" t="n">
        <v>173.7</v>
      </c>
      <c r="G83" s="18" t="n">
        <v>5</v>
      </c>
      <c r="H83" s="18" t="n">
        <v>182.7</v>
      </c>
      <c r="I83" s="18" t="s">
        <v>93</v>
      </c>
    </row>
    <row r="84" customFormat="false" ht="15" hidden="false" customHeight="true" outlineLevel="0" collapsed="false">
      <c r="A84" s="18" t="n">
        <v>8</v>
      </c>
      <c r="B84" s="18" t="n">
        <v>11</v>
      </c>
      <c r="C84" s="18" t="s">
        <v>49</v>
      </c>
      <c r="D84" s="18" t="s">
        <v>92</v>
      </c>
      <c r="E84" s="18" t="n">
        <v>416.6</v>
      </c>
      <c r="F84" s="18" t="n">
        <v>130</v>
      </c>
      <c r="G84" s="18" t="n">
        <v>389.4</v>
      </c>
      <c r="H84" s="18" t="n">
        <v>182.7</v>
      </c>
      <c r="I84" s="18" t="s">
        <v>93</v>
      </c>
    </row>
    <row r="85" customFormat="false" ht="15" hidden="false" customHeight="true" outlineLevel="0" collapsed="false">
      <c r="A85" s="18" t="n">
        <v>8</v>
      </c>
      <c r="B85" s="18" t="n">
        <v>12</v>
      </c>
      <c r="C85" s="18" t="s">
        <v>51</v>
      </c>
      <c r="D85" s="18" t="s">
        <v>92</v>
      </c>
      <c r="E85" s="18" t="n">
        <v>380.4</v>
      </c>
      <c r="F85" s="18" t="n">
        <v>130</v>
      </c>
      <c r="G85" s="18" t="n">
        <v>810</v>
      </c>
      <c r="H85" s="18" t="n">
        <v>182.7</v>
      </c>
      <c r="I85" s="18" t="s">
        <v>93</v>
      </c>
    </row>
    <row r="86" customFormat="false" ht="15" hidden="false" customHeight="true" outlineLevel="0" collapsed="false">
      <c r="A86" s="18" t="n">
        <v>8</v>
      </c>
      <c r="B86" s="18" t="n">
        <v>12</v>
      </c>
      <c r="C86" s="18" t="s">
        <v>51</v>
      </c>
      <c r="D86" s="18" t="s">
        <v>92</v>
      </c>
      <c r="E86" s="18" t="n">
        <v>380.4</v>
      </c>
      <c r="F86" s="18" t="n">
        <v>130</v>
      </c>
      <c r="G86" s="18" t="n">
        <v>389.4</v>
      </c>
      <c r="H86" s="18" t="n">
        <v>316.7</v>
      </c>
      <c r="I86" s="18" t="s">
        <v>93</v>
      </c>
    </row>
    <row r="87" customFormat="false" ht="15" hidden="false" customHeight="true" outlineLevel="0" collapsed="false">
      <c r="A87" s="18" t="n">
        <v>8</v>
      </c>
      <c r="B87" s="18" t="n">
        <v>13</v>
      </c>
      <c r="C87" s="18" t="s">
        <v>52</v>
      </c>
      <c r="D87" s="18" t="s">
        <v>92</v>
      </c>
      <c r="E87" s="18" t="n">
        <v>380.4</v>
      </c>
      <c r="F87" s="18" t="n">
        <v>130</v>
      </c>
      <c r="G87" s="18" t="n">
        <v>5</v>
      </c>
      <c r="H87" s="18" t="n">
        <v>360.4</v>
      </c>
      <c r="I87" s="18" t="s">
        <v>93</v>
      </c>
    </row>
    <row r="88" customFormat="false" ht="15" hidden="false" customHeight="true" outlineLevel="0" collapsed="false">
      <c r="A88" s="18" t="n">
        <v>8</v>
      </c>
      <c r="B88" s="18" t="n">
        <v>13</v>
      </c>
      <c r="C88" s="18" t="s">
        <v>52</v>
      </c>
      <c r="D88" s="18" t="s">
        <v>92</v>
      </c>
      <c r="E88" s="18" t="n">
        <v>380.4</v>
      </c>
      <c r="F88" s="18" t="n">
        <v>130</v>
      </c>
      <c r="G88" s="18" t="n">
        <v>773.8</v>
      </c>
      <c r="H88" s="18" t="n">
        <v>360.4</v>
      </c>
      <c r="I88" s="18" t="s">
        <v>93</v>
      </c>
    </row>
    <row r="89" customFormat="false" ht="15" hidden="false" customHeight="true" outlineLevel="0" collapsed="false">
      <c r="A89" s="18" t="n">
        <v>8</v>
      </c>
      <c r="B89" s="18" t="n">
        <v>36</v>
      </c>
      <c r="C89" s="18" t="s">
        <v>53</v>
      </c>
      <c r="D89" s="18" t="s">
        <v>97</v>
      </c>
      <c r="E89" s="18" t="n">
        <v>500</v>
      </c>
      <c r="F89" s="18" t="n">
        <v>80</v>
      </c>
      <c r="G89" s="18" t="n">
        <v>389.4</v>
      </c>
      <c r="H89" s="18" t="n">
        <v>450.7</v>
      </c>
      <c r="I89" s="18"/>
    </row>
    <row r="90" customFormat="false" ht="15" hidden="false" customHeight="true" outlineLevel="0" collapsed="false">
      <c r="A90" s="18" t="n">
        <v>8</v>
      </c>
      <c r="B90" s="18" t="n">
        <v>37</v>
      </c>
      <c r="C90" s="18" t="s">
        <v>54</v>
      </c>
      <c r="D90" s="18" t="s">
        <v>97</v>
      </c>
      <c r="E90" s="18" t="n">
        <v>500</v>
      </c>
      <c r="F90" s="18" t="n">
        <v>80</v>
      </c>
      <c r="G90" s="18" t="n">
        <v>473.4</v>
      </c>
      <c r="H90" s="18" t="n">
        <v>450.7</v>
      </c>
      <c r="I90" s="18"/>
    </row>
    <row r="91" customFormat="false" ht="15" hidden="false" customHeight="true" outlineLevel="0" collapsed="false">
      <c r="A91" s="18" t="n">
        <v>8</v>
      </c>
      <c r="B91" s="18" t="n">
        <v>26</v>
      </c>
      <c r="C91" s="18" t="s">
        <v>67</v>
      </c>
      <c r="D91" s="18" t="s">
        <v>91</v>
      </c>
      <c r="E91" s="18" t="n">
        <v>380.4</v>
      </c>
      <c r="F91" s="18" t="n">
        <v>90</v>
      </c>
      <c r="G91" s="18" t="n">
        <v>5</v>
      </c>
      <c r="H91" s="18" t="n">
        <v>494.4</v>
      </c>
      <c r="I91" s="18" t="s">
        <v>93</v>
      </c>
    </row>
    <row r="93" customFormat="false" ht="15" hidden="false" customHeight="true" outlineLevel="0" collapsed="false">
      <c r="A93" s="15" t="s">
        <v>100</v>
      </c>
      <c r="C93" s="15" t="n">
        <f aca="false">MAX(A5:A91)</f>
        <v>8</v>
      </c>
    </row>
    <row r="94" customFormat="false" ht="15" hidden="false" customHeight="true" outlineLevel="0" collapsed="false">
      <c r="A94" s="15" t="s">
        <v>101</v>
      </c>
      <c r="C94" s="19" t="n">
        <f aca="false">SUMPRODUCT(E5:E91,F5:F91)/(C93*1220*2440)</f>
        <v>0.832508647708949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46"/>
    <col collapsed="false" customWidth="true" hidden="false" outlineLevel="0" max="5" min="4" style="1" width="8"/>
    <col collapsed="false" customWidth="true" hidden="false" outlineLevel="0" max="7" min="6" style="1" width="14"/>
    <col collapsed="false" customWidth="true" hidden="false" outlineLevel="0" max="8" min="8" style="1" width="60"/>
    <col collapsed="false" customWidth="true" hidden="false" outlineLevel="0" max="9" min="9" style="0" width="58"/>
    <col collapsed="false" customWidth="true" hidden="false" outlineLevel="0" max="10" min="10" style="1" width="44"/>
    <col collapsed="false" customWidth="true" hidden="false" outlineLevel="0" max="11" min="11" style="1" width="10"/>
    <col collapsed="false" customWidth="true" hidden="false" outlineLevel="0" max="12" min="12" style="1" width="45"/>
    <col collapsed="false" customWidth="true" hidden="false" outlineLevel="0" max="14" min="14" style="0" width="44"/>
    <col collapsed="false" customWidth="true" hidden="false" outlineLevel="0" max="15" min="15" style="0" width="10"/>
    <col collapsed="false" customWidth="true" hidden="false" outlineLevel="0" max="16" min="16" style="0" width="45"/>
  </cols>
  <sheetData>
    <row r="1" customFormat="false" ht="17.25" hidden="false" customHeight="true" outlineLevel="0" collapsed="false">
      <c r="A1" s="5" t="s">
        <v>102</v>
      </c>
    </row>
    <row r="2" customFormat="false" ht="15" hidden="false" customHeight="true" outlineLevel="0" collapsed="false">
      <c r="A2" s="6" t="s">
        <v>103</v>
      </c>
    </row>
    <row r="4" customFormat="false" ht="15" hidden="false" customHeight="true" outlineLevel="0" collapsed="false">
      <c r="A4" s="7" t="s">
        <v>104</v>
      </c>
      <c r="B4" s="7" t="s">
        <v>105</v>
      </c>
      <c r="C4" s="7" t="s">
        <v>106</v>
      </c>
      <c r="D4" s="7" t="s">
        <v>23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15"/>
      <c r="N4" s="15" t="s">
        <v>112</v>
      </c>
    </row>
    <row r="5" customFormat="false" ht="26.25" hidden="false" customHeight="true" outlineLevel="0" collapsed="false">
      <c r="A5" s="20" t="s">
        <v>113</v>
      </c>
      <c r="B5" s="20" t="s">
        <v>114</v>
      </c>
      <c r="C5" s="21" t="s">
        <v>115</v>
      </c>
      <c r="D5" s="20" t="n">
        <f aca="false">'Sheet Layout'!C93</f>
        <v>8</v>
      </c>
      <c r="E5" s="20" t="s">
        <v>116</v>
      </c>
      <c r="F5" s="22" t="n">
        <v>2737</v>
      </c>
      <c r="G5" s="23" t="n">
        <f aca="false">IF(F5="",0,D5*F5)</f>
        <v>21896</v>
      </c>
      <c r="H5" s="21" t="s">
        <v>117</v>
      </c>
      <c r="I5" s="24" t="s">
        <v>118</v>
      </c>
      <c r="J5" s="25"/>
      <c r="K5" s="26"/>
      <c r="L5" s="6"/>
      <c r="N5" s="25" t="s">
        <v>119</v>
      </c>
      <c r="O5" s="26" t="n">
        <v>1.15</v>
      </c>
      <c r="P5" s="6" t="s">
        <v>120</v>
      </c>
    </row>
    <row r="6" customFormat="false" ht="26.25" hidden="false" customHeight="true" outlineLevel="0" collapsed="false">
      <c r="A6" s="20" t="s">
        <v>113</v>
      </c>
      <c r="B6" s="20" t="s">
        <v>121</v>
      </c>
      <c r="C6" s="21" t="s">
        <v>122</v>
      </c>
      <c r="D6" s="20" t="n">
        <f aca="false">ROUNDUP((2*'Cut List'!K80)*$O$5/$O$8,0)</f>
        <v>16</v>
      </c>
      <c r="E6" s="20" t="s">
        <v>116</v>
      </c>
      <c r="F6" s="22" t="n">
        <v>1100</v>
      </c>
      <c r="G6" s="23" t="n">
        <f aca="false">IF(F6="",0,D6*F6)</f>
        <v>17600</v>
      </c>
      <c r="H6" s="21" t="s">
        <v>123</v>
      </c>
      <c r="I6" s="24" t="s">
        <v>124</v>
      </c>
      <c r="J6" s="25"/>
      <c r="K6" s="26"/>
      <c r="L6" s="6"/>
      <c r="N6" s="25" t="s">
        <v>125</v>
      </c>
      <c r="O6" s="26" t="n">
        <v>1.1</v>
      </c>
      <c r="P6" s="6" t="s">
        <v>126</v>
      </c>
    </row>
    <row r="7" customFormat="false" ht="15" hidden="false" customHeight="true" outlineLevel="0" collapsed="false">
      <c r="A7" s="20" t="s">
        <v>113</v>
      </c>
      <c r="B7" s="20" t="s">
        <v>127</v>
      </c>
      <c r="C7" s="21" t="s">
        <v>128</v>
      </c>
      <c r="D7" s="20" t="n">
        <f aca="false">ROUNDUP('Cut List'!L80*$O$6,0)</f>
        <v>61</v>
      </c>
      <c r="E7" s="20" t="s">
        <v>129</v>
      </c>
      <c r="F7" s="22" t="n">
        <v>18.9</v>
      </c>
      <c r="G7" s="23" t="n">
        <f aca="false">IF(F7="",0,D7*F7)</f>
        <v>1152.9</v>
      </c>
      <c r="H7" s="21" t="s">
        <v>130</v>
      </c>
      <c r="I7" s="24" t="s">
        <v>131</v>
      </c>
      <c r="J7" s="25"/>
      <c r="K7" s="27"/>
      <c r="L7" s="6"/>
      <c r="N7" s="25" t="s">
        <v>132</v>
      </c>
      <c r="O7" s="27" t="n">
        <v>12</v>
      </c>
      <c r="P7" s="6" t="s">
        <v>133</v>
      </c>
    </row>
    <row r="8" customFormat="false" ht="15" hidden="false" customHeight="true" outlineLevel="0" collapsed="false">
      <c r="A8" s="20" t="s">
        <v>134</v>
      </c>
      <c r="B8" s="20" t="s">
        <v>135</v>
      </c>
      <c r="C8" s="21" t="s">
        <v>136</v>
      </c>
      <c r="D8" s="20" t="n">
        <f aca="false">ROUNDUP((2*'Cut List'!K80)/$O$7,0)</f>
        <v>4</v>
      </c>
      <c r="E8" s="20" t="s">
        <v>137</v>
      </c>
      <c r="F8" s="22" t="n">
        <v>1159</v>
      </c>
      <c r="G8" s="23" t="n">
        <f aca="false">IF(F8="",0,D8*F8)</f>
        <v>4636</v>
      </c>
      <c r="H8" s="21" t="s">
        <v>138</v>
      </c>
      <c r="I8" s="24" t="s">
        <v>139</v>
      </c>
      <c r="J8" s="25"/>
      <c r="K8" s="28"/>
      <c r="L8" s="6"/>
      <c r="N8" s="25" t="s">
        <v>140</v>
      </c>
      <c r="O8" s="28" t="n">
        <v>2.9768</v>
      </c>
      <c r="P8" s="6" t="s">
        <v>141</v>
      </c>
    </row>
    <row r="9" customFormat="false" ht="15" hidden="false" customHeight="true" outlineLevel="0" collapsed="false">
      <c r="A9" s="20" t="s">
        <v>134</v>
      </c>
      <c r="B9" s="20" t="s">
        <v>142</v>
      </c>
      <c r="C9" s="21" t="s">
        <v>143</v>
      </c>
      <c r="D9" s="20" t="n">
        <v>1</v>
      </c>
      <c r="E9" s="20" t="s">
        <v>144</v>
      </c>
      <c r="F9" s="22" t="n">
        <v>325</v>
      </c>
      <c r="G9" s="23" t="n">
        <f aca="false">IF(F9="",0,D9*F9)</f>
        <v>325</v>
      </c>
      <c r="H9" s="21" t="s">
        <v>145</v>
      </c>
      <c r="I9" s="29" t="s">
        <v>146</v>
      </c>
    </row>
    <row r="10" customFormat="false" ht="15" hidden="false" customHeight="true" outlineLevel="0" collapsed="false">
      <c r="A10" s="20" t="s">
        <v>134</v>
      </c>
      <c r="B10" s="20" t="s">
        <v>147</v>
      </c>
      <c r="C10" s="21" t="s">
        <v>148</v>
      </c>
      <c r="D10" s="20" t="n">
        <v>1</v>
      </c>
      <c r="E10" s="20" t="s">
        <v>149</v>
      </c>
      <c r="F10" s="22" t="n">
        <v>375</v>
      </c>
      <c r="G10" s="23" t="n">
        <f aca="false">IF(F10="",0,D10*F10)</f>
        <v>375</v>
      </c>
      <c r="H10" s="21" t="s">
        <v>150</v>
      </c>
      <c r="I10" s="29" t="s">
        <v>146</v>
      </c>
    </row>
    <row r="11" customFormat="false" ht="15" hidden="false" customHeight="true" outlineLevel="0" collapsed="false">
      <c r="A11" s="20" t="s">
        <v>151</v>
      </c>
      <c r="B11" s="20" t="s">
        <v>152</v>
      </c>
      <c r="C11" s="21" t="s">
        <v>153</v>
      </c>
      <c r="D11" s="20" t="n">
        <v>8</v>
      </c>
      <c r="E11" s="20" t="s">
        <v>154</v>
      </c>
      <c r="F11" s="22" t="n">
        <v>62.5</v>
      </c>
      <c r="G11" s="23" t="n">
        <f aca="false">IF(F11="",0,D11*F11)</f>
        <v>500</v>
      </c>
      <c r="H11" s="21" t="s">
        <v>155</v>
      </c>
      <c r="I11" s="24" t="s">
        <v>156</v>
      </c>
    </row>
    <row r="12" customFormat="false" ht="15" hidden="false" customHeight="true" outlineLevel="0" collapsed="false">
      <c r="A12" s="20" t="s">
        <v>151</v>
      </c>
      <c r="B12" s="20" t="s">
        <v>157</v>
      </c>
      <c r="C12" s="21" t="s">
        <v>153</v>
      </c>
      <c r="D12" s="20" t="n">
        <v>8</v>
      </c>
      <c r="E12" s="20" t="s">
        <v>154</v>
      </c>
      <c r="F12" s="22" t="n">
        <v>62.5</v>
      </c>
      <c r="G12" s="23" t="n">
        <f aca="false">IF(F12="",0,D12*F12)</f>
        <v>500</v>
      </c>
      <c r="H12" s="21" t="s">
        <v>158</v>
      </c>
      <c r="I12" s="24" t="s">
        <v>159</v>
      </c>
    </row>
    <row r="13" customFormat="false" ht="15" hidden="false" customHeight="true" outlineLevel="0" collapsed="false">
      <c r="A13" s="20" t="s">
        <v>160</v>
      </c>
      <c r="B13" s="20" t="s">
        <v>161</v>
      </c>
      <c r="C13" s="21" t="s">
        <v>162</v>
      </c>
      <c r="D13" s="20" t="n">
        <v>6</v>
      </c>
      <c r="E13" s="20" t="s">
        <v>163</v>
      </c>
      <c r="F13" s="22" t="n">
        <v>250</v>
      </c>
      <c r="G13" s="23" t="n">
        <f aca="false">IF(F13="",0,D13*F13)</f>
        <v>1500</v>
      </c>
      <c r="H13" s="21" t="s">
        <v>164</v>
      </c>
      <c r="I13" s="29" t="s">
        <v>165</v>
      </c>
    </row>
    <row r="14" customFormat="false" ht="15" hidden="false" customHeight="true" outlineLevel="0" collapsed="false">
      <c r="A14" s="20" t="s">
        <v>166</v>
      </c>
      <c r="B14" s="20" t="s">
        <v>167</v>
      </c>
      <c r="C14" s="21" t="s">
        <v>168</v>
      </c>
      <c r="D14" s="20" t="n">
        <v>1</v>
      </c>
      <c r="E14" s="20" t="s">
        <v>154</v>
      </c>
      <c r="F14" s="22" t="n">
        <v>250</v>
      </c>
      <c r="G14" s="23" t="n">
        <f aca="false">IF(F14="",0,D14*F14)</f>
        <v>250</v>
      </c>
      <c r="H14" s="21" t="s">
        <v>169</v>
      </c>
      <c r="I14" s="29" t="s">
        <v>146</v>
      </c>
    </row>
    <row r="15" customFormat="false" ht="15" hidden="false" customHeight="true" outlineLevel="0" collapsed="false">
      <c r="A15" s="20" t="s">
        <v>166</v>
      </c>
      <c r="B15" s="20" t="s">
        <v>170</v>
      </c>
      <c r="C15" s="21" t="s">
        <v>171</v>
      </c>
      <c r="D15" s="20" t="n">
        <v>2</v>
      </c>
      <c r="E15" s="20" t="s">
        <v>154</v>
      </c>
      <c r="F15" s="22" t="n">
        <v>50</v>
      </c>
      <c r="G15" s="23" t="n">
        <f aca="false">IF(F15="",0,D15*F15)</f>
        <v>100</v>
      </c>
      <c r="H15" s="21"/>
      <c r="I15" s="29" t="s">
        <v>146</v>
      </c>
    </row>
    <row r="16" customFormat="false" ht="15" hidden="false" customHeight="true" outlineLevel="0" collapsed="false">
      <c r="A16" s="20" t="s">
        <v>166</v>
      </c>
      <c r="B16" s="20" t="s">
        <v>172</v>
      </c>
      <c r="C16" s="21" t="s">
        <v>173</v>
      </c>
      <c r="D16" s="20" t="n">
        <v>40</v>
      </c>
      <c r="E16" s="20" t="s">
        <v>154</v>
      </c>
      <c r="F16" s="22" t="n">
        <v>4</v>
      </c>
      <c r="G16" s="23" t="n">
        <f aca="false">IF(F16="",0,D16*F16)</f>
        <v>160</v>
      </c>
      <c r="H16" s="21" t="s">
        <v>174</v>
      </c>
      <c r="I16" s="29" t="s">
        <v>146</v>
      </c>
    </row>
    <row r="17" customFormat="false" ht="15" hidden="false" customHeight="true" outlineLevel="0" collapsed="false">
      <c r="A17" s="20" t="s">
        <v>175</v>
      </c>
      <c r="B17" s="20" t="s">
        <v>176</v>
      </c>
      <c r="C17" s="21" t="s">
        <v>177</v>
      </c>
      <c r="D17" s="30" t="n">
        <v>150</v>
      </c>
      <c r="E17" s="20" t="s">
        <v>154</v>
      </c>
      <c r="F17" s="22" t="n">
        <v>3</v>
      </c>
      <c r="G17" s="23" t="n">
        <f aca="false">IF(F17="",0,D17*F17)</f>
        <v>450</v>
      </c>
      <c r="H17" s="21" t="s">
        <v>178</v>
      </c>
      <c r="I17" s="29" t="s">
        <v>146</v>
      </c>
    </row>
    <row r="18" customFormat="false" ht="15" hidden="false" customHeight="true" outlineLevel="0" collapsed="false">
      <c r="A18" s="20" t="s">
        <v>175</v>
      </c>
      <c r="B18" s="20" t="s">
        <v>179</v>
      </c>
      <c r="C18" s="21" t="s">
        <v>180</v>
      </c>
      <c r="D18" s="30" t="n">
        <v>200</v>
      </c>
      <c r="E18" s="20" t="s">
        <v>154</v>
      </c>
      <c r="F18" s="22" t="n">
        <v>1.5</v>
      </c>
      <c r="G18" s="23" t="n">
        <f aca="false">IF(F18="",0,D18*F18)</f>
        <v>300</v>
      </c>
      <c r="H18" s="21" t="s">
        <v>181</v>
      </c>
      <c r="I18" s="29" t="s">
        <v>146</v>
      </c>
    </row>
    <row r="19" customFormat="false" ht="15" hidden="false" customHeight="true" outlineLevel="0" collapsed="false">
      <c r="A19" s="20" t="s">
        <v>175</v>
      </c>
      <c r="B19" s="20" t="s">
        <v>179</v>
      </c>
      <c r="C19" s="21" t="s">
        <v>182</v>
      </c>
      <c r="D19" s="30" t="n">
        <v>100</v>
      </c>
      <c r="E19" s="20" t="s">
        <v>154</v>
      </c>
      <c r="F19" s="22" t="n">
        <v>1.2</v>
      </c>
      <c r="G19" s="23" t="n">
        <f aca="false">IF(F19="",0,D19*F19)</f>
        <v>120</v>
      </c>
      <c r="H19" s="21" t="s">
        <v>183</v>
      </c>
      <c r="I19" s="29" t="s">
        <v>146</v>
      </c>
    </row>
    <row r="20" customFormat="false" ht="15" hidden="false" customHeight="true" outlineLevel="0" collapsed="false">
      <c r="A20" s="20" t="s">
        <v>175</v>
      </c>
      <c r="B20" s="20" t="s">
        <v>184</v>
      </c>
      <c r="C20" s="21" t="s">
        <v>185</v>
      </c>
      <c r="D20" s="30" t="n">
        <v>200</v>
      </c>
      <c r="E20" s="20" t="s">
        <v>154</v>
      </c>
      <c r="F20" s="22" t="n">
        <v>0.9</v>
      </c>
      <c r="G20" s="23" t="n">
        <f aca="false">IF(F20="",0,D20*F20)</f>
        <v>180</v>
      </c>
      <c r="H20" s="21" t="s">
        <v>186</v>
      </c>
      <c r="I20" s="29" t="s">
        <v>146</v>
      </c>
    </row>
    <row r="21" customFormat="false" ht="15" hidden="false" customHeight="true" outlineLevel="0" collapsed="false">
      <c r="A21" s="20" t="s">
        <v>175</v>
      </c>
      <c r="B21" s="20" t="s">
        <v>187</v>
      </c>
      <c r="C21" s="21" t="s">
        <v>188</v>
      </c>
      <c r="D21" s="30" t="n">
        <v>16</v>
      </c>
      <c r="E21" s="20" t="s">
        <v>154</v>
      </c>
      <c r="F21" s="22" t="n">
        <v>19</v>
      </c>
      <c r="G21" s="23" t="n">
        <f aca="false">IF(F21="",0,D21*F21)</f>
        <v>304</v>
      </c>
      <c r="H21" s="21" t="s">
        <v>189</v>
      </c>
      <c r="I21" s="29" t="s">
        <v>146</v>
      </c>
    </row>
    <row r="22" customFormat="false" ht="15" hidden="false" customHeight="true" outlineLevel="0" collapsed="false">
      <c r="A22" s="20" t="s">
        <v>190</v>
      </c>
      <c r="B22" s="20" t="s">
        <v>191</v>
      </c>
      <c r="C22" s="21" t="s">
        <v>192</v>
      </c>
      <c r="D22" s="20" t="n">
        <v>10</v>
      </c>
      <c r="E22" s="20" t="s">
        <v>154</v>
      </c>
      <c r="F22" s="22" t="n">
        <v>45</v>
      </c>
      <c r="G22" s="23" t="n">
        <f aca="false">IF(F22="",0,D22*F22)</f>
        <v>450</v>
      </c>
      <c r="H22" s="21" t="s">
        <v>193</v>
      </c>
      <c r="I22" s="29" t="s">
        <v>146</v>
      </c>
    </row>
    <row r="23" customFormat="false" ht="15" hidden="false" customHeight="true" outlineLevel="0" collapsed="false">
      <c r="A23" s="20" t="s">
        <v>190</v>
      </c>
      <c r="B23" s="20" t="s">
        <v>194</v>
      </c>
      <c r="C23" s="21" t="s">
        <v>195</v>
      </c>
      <c r="D23" s="20" t="n">
        <v>20</v>
      </c>
      <c r="E23" s="20" t="s">
        <v>196</v>
      </c>
      <c r="F23" s="22" t="n">
        <v>7.5</v>
      </c>
      <c r="G23" s="23" t="n">
        <f aca="false">IF(F23="",0,D23*F23)</f>
        <v>150</v>
      </c>
      <c r="H23" s="21"/>
      <c r="I23" s="29" t="s">
        <v>146</v>
      </c>
    </row>
    <row r="24" customFormat="false" ht="15" hidden="false" customHeight="true" outlineLevel="0" collapsed="false">
      <c r="A24" s="20" t="s">
        <v>190</v>
      </c>
      <c r="B24" s="20" t="s">
        <v>197</v>
      </c>
      <c r="C24" s="21" t="s">
        <v>198</v>
      </c>
      <c r="D24" s="20" t="n">
        <v>1</v>
      </c>
      <c r="E24" s="20" t="s">
        <v>199</v>
      </c>
      <c r="F24" s="22" t="n">
        <v>150</v>
      </c>
      <c r="G24" s="23" t="n">
        <f aca="false">IF(F24="",0,D24*F24)</f>
        <v>150</v>
      </c>
      <c r="H24" s="21" t="s">
        <v>200</v>
      </c>
      <c r="I24" s="29" t="s">
        <v>146</v>
      </c>
    </row>
    <row r="25" customFormat="false" ht="15" hidden="false" customHeight="true" outlineLevel="0" collapsed="false">
      <c r="A25" s="20" t="s">
        <v>201</v>
      </c>
      <c r="B25" s="20" t="s">
        <v>202</v>
      </c>
      <c r="C25" s="21" t="s">
        <v>203</v>
      </c>
      <c r="D25" s="20" t="n">
        <v>1</v>
      </c>
      <c r="E25" s="20" t="s">
        <v>154</v>
      </c>
      <c r="F25" s="22" t="n">
        <v>450</v>
      </c>
      <c r="G25" s="23" t="n">
        <f aca="false">IF(F25="",0,D25*F25)</f>
        <v>450</v>
      </c>
      <c r="H25" s="21" t="s">
        <v>204</v>
      </c>
      <c r="I25" s="29" t="s">
        <v>205</v>
      </c>
    </row>
    <row r="26" customFormat="false" ht="26.25" hidden="false" customHeight="true" outlineLevel="0" collapsed="false">
      <c r="A26" s="20" t="s">
        <v>201</v>
      </c>
      <c r="B26" s="20" t="s">
        <v>206</v>
      </c>
      <c r="C26" s="21" t="s">
        <v>207</v>
      </c>
      <c r="D26" s="20" t="n">
        <v>4</v>
      </c>
      <c r="E26" s="20" t="s">
        <v>154</v>
      </c>
      <c r="F26" s="22" t="n">
        <v>37.5</v>
      </c>
      <c r="G26" s="23" t="n">
        <f aca="false">IF(F26="",0,D26*F26)</f>
        <v>150</v>
      </c>
      <c r="H26" s="21"/>
      <c r="I26" s="29" t="s">
        <v>146</v>
      </c>
    </row>
    <row r="27" customFormat="false" ht="15" hidden="false" customHeight="true" outlineLevel="0" collapsed="false">
      <c r="A27" s="20" t="s">
        <v>201</v>
      </c>
      <c r="B27" s="20" t="s">
        <v>208</v>
      </c>
      <c r="C27" s="21" t="s">
        <v>209</v>
      </c>
      <c r="D27" s="20" t="n">
        <v>2</v>
      </c>
      <c r="E27" s="20" t="s">
        <v>154</v>
      </c>
      <c r="F27" s="22" t="n">
        <v>75</v>
      </c>
      <c r="G27" s="23" t="n">
        <f aca="false">IF(F27="",0,D27*F27)</f>
        <v>150</v>
      </c>
      <c r="H27" s="21" t="s">
        <v>210</v>
      </c>
      <c r="I27" s="29" t="s">
        <v>146</v>
      </c>
    </row>
    <row r="28" customFormat="false" ht="15" hidden="false" customHeight="true" outlineLevel="0" collapsed="false">
      <c r="A28" s="20" t="s">
        <v>211</v>
      </c>
      <c r="B28" s="20" t="s">
        <v>212</v>
      </c>
      <c r="C28" s="21" t="s">
        <v>213</v>
      </c>
      <c r="D28" s="20" t="n">
        <v>1</v>
      </c>
      <c r="E28" s="20" t="s">
        <v>154</v>
      </c>
      <c r="F28" s="22" t="n">
        <v>750</v>
      </c>
      <c r="G28" s="23" t="n">
        <f aca="false">IF(F28="",0,D28*F28)</f>
        <v>750</v>
      </c>
      <c r="H28" s="21"/>
      <c r="I28" s="29" t="s">
        <v>214</v>
      </c>
    </row>
    <row r="30" customFormat="false" ht="15" hidden="false" customHeight="true" outlineLevel="0" collapsed="false">
      <c r="F30" s="15" t="s">
        <v>215</v>
      </c>
      <c r="G30" s="31" t="n">
        <f aca="false">SUM(G5:G28)</f>
        <v>52598.9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2026-10-07T07:07:59Z</dcterms:created>
  <dc:creator>openpyxl</dc:creator>
  <dc:description/>
  <dc:language>en-PH</dc:language>
  <cp:lastModifiedBy/>
  <dcterms:modified xsi:type="dcterms:W3CDTF">2026-10-07T07:46:21Z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